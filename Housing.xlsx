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Rahul Sharma\OneDrive - UWA\UWA\Sem_4_Data Analysis and Decision Making\Ass\"/>
    </mc:Choice>
  </mc:AlternateContent>
  <xr:revisionPtr revIDLastSave="4" documentId="13_ncr:1_{95922AD4-65F7-45D5-B5DA-D7F01224DCC6}" xr6:coauthVersionLast="47" xr6:coauthVersionMax="47" xr10:uidLastSave="{D9799B07-8D1B-4927-9722-1F16D7099AAD}"/>
  <bookViews>
    <workbookView xWindow="-108" yWindow="-108" windowWidth="23256" windowHeight="13176" firstSheet="2" activeTab="1" xr2:uid="{2B7E19FB-0439-4234-9231-3F5FCE8AC191}"/>
  </bookViews>
  <sheets>
    <sheet name="Raw Data" sheetId="1" r:id="rId1"/>
    <sheet name="Descriptive Statistics" sheetId="10" r:id="rId2"/>
    <sheet name="Collineraity" sheetId="11" r:id="rId3"/>
    <sheet name="Processed Data" sheetId="2" r:id="rId4"/>
    <sheet name="EDA plots" sheetId="3" r:id="rId5"/>
    <sheet name="Regression models" sheetId="4" r:id="rId6"/>
    <sheet name="Statistical tests" sheetId="5" r:id="rId7"/>
  </sheets>
  <definedNames>
    <definedName name="_xlnm._FilterDatabase" localSheetId="3" hidden="1">'Processed Data'!$A$1:$AC$1</definedName>
    <definedName name="_xlchart.v1.0" hidden="1">'Processed Data'!$M$1</definedName>
    <definedName name="_xlchart.v1.1" hidden="1">'Processed Data'!$M$2:$M$546</definedName>
    <definedName name="_xlchart.v1.2" hidden="1">'Processed Data'!$A$1</definedName>
    <definedName name="_xlchart.v1.3" hidden="1">'Processed Data'!$A$2:$A$546</definedName>
    <definedName name="_xlchart.v1.4" hidden="1">'Processed Data'!$B$2:$B$546</definedName>
    <definedName name="_xlchart.v1.5" hidden="1">'Processed Data'!$M$1</definedName>
    <definedName name="_xlchart.v1.6" hidden="1">'Processed Data'!$M$2:$M$546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2" l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2" i="2"/>
</calcChain>
</file>

<file path=xl/sharedStrings.xml><?xml version="1.0" encoding="utf-8"?>
<sst xmlns="http://schemas.openxmlformats.org/spreadsheetml/2006/main" count="7728" uniqueCount="36">
  <si>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</si>
  <si>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</si>
  <si>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</si>
  <si>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</si>
  <si>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</si>
  <si>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</si>
  <si>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</si>
  <si>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</si>
  <si>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</si>
  <si>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</si>
  <si>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</si>
  <si>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</si>
  <si>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</si>
  <si>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yes</t>
  </si>
  <si>
    <t>no</t>
  </si>
  <si>
    <t>furnished</t>
  </si>
  <si>
    <t>semi-furnished</t>
  </si>
  <si>
    <t>unfurnished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</si>
  <si>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</si>
  <si>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</si>
  <si>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</si>
  <si>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</si>
  <si>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</si>
  <si>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</si>
  <si>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</si>
  <si>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</si>
  <si>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</si>
  <si>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</si>
  <si>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</si>
  <si>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</si>
  <si>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</si>
  <si>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is_furnished</t>
  </si>
  <si>
    <t>is_semifurnished</t>
  </si>
  <si>
    <t>Sho</t>
  </si>
  <si>
    <t>Bi Variate Analysis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</si>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</sst>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10" xfId="0" applyBorder="1"/>
    <xf numFmtId="0" fontId="19" fillId="0" borderId="11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</a:t>
            </a:r>
            <a:r>
              <a:rPr lang="en-US" baseline="0"/>
              <a:t> 3</a:t>
            </a:r>
            <a:r>
              <a:rPr lang="en-US"/>
              <a:t>: Distribution of furnishing</a:t>
            </a:r>
            <a:r>
              <a:rPr lang="en-US" baseline="0"/>
              <a:t>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furnished</c:v>
              </c:pt>
              <c:pt idx="1">
                <c:v>semi-furnished</c:v>
              </c:pt>
              <c:pt idx="2">
                <c:v>unfurnished</c:v>
              </c:pt>
            </c:strLit>
          </c:cat>
          <c:val>
            <c:numLit>
              <c:formatCode>General</c:formatCode>
              <c:ptCount val="3"/>
              <c:pt idx="0">
                <c:v>140</c:v>
              </c:pt>
              <c:pt idx="1">
                <c:v>227</c:v>
              </c:pt>
              <c:pt idx="2">
                <c:v>178</c:v>
              </c:pt>
            </c:numLit>
          </c:val>
          <c:extLst>
            <c:ext xmlns:c16="http://schemas.microsoft.com/office/drawing/2014/chart" uri="{C3380CC4-5D6E-409C-BE32-E72D297353CC}">
              <c16:uniqueId val="{00000000-70BE-4B7D-A209-130142BF90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1"/>
        <c:overlap val="-27"/>
        <c:axId val="1274697504"/>
        <c:axId val="1274698464"/>
      </c:barChart>
      <c:catAx>
        <c:axId val="127469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Furnishing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698464"/>
        <c:crosses val="autoZero"/>
        <c:auto val="1"/>
        <c:lblAlgn val="ctr"/>
        <c:lblOffset val="100"/>
        <c:noMultiLvlLbl val="0"/>
      </c:catAx>
      <c:valAx>
        <c:axId val="127469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69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 4: Distribution of No. of Bedroonms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</c:strLit>
          </c:cat>
          <c:val>
            <c:numLit>
              <c:formatCode>General</c:formatCode>
              <c:ptCount val="6"/>
              <c:pt idx="0">
                <c:v>2</c:v>
              </c:pt>
              <c:pt idx="1">
                <c:v>136</c:v>
              </c:pt>
              <c:pt idx="2">
                <c:v>300</c:v>
              </c:pt>
              <c:pt idx="3">
                <c:v>95</c:v>
              </c:pt>
              <c:pt idx="4">
                <c:v>10</c:v>
              </c:pt>
              <c:pt idx="5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7752-41C7-8F46-8DA9608009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60356784"/>
        <c:axId val="160367344"/>
      </c:barChart>
      <c:catAx>
        <c:axId val="16035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Bedrooms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67344"/>
        <c:crosses val="autoZero"/>
        <c:auto val="1"/>
        <c:lblAlgn val="ctr"/>
        <c:lblOffset val="100"/>
        <c:noMultiLvlLbl val="0"/>
      </c:catAx>
      <c:valAx>
        <c:axId val="16036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5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Fig 5: Distribution of No</a:t>
            </a:r>
            <a:r>
              <a:rPr lang="en-US" sz="1400" baseline="0"/>
              <a:t> of Stories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strLit>
          </c:cat>
          <c:val>
            <c:numLit>
              <c:formatCode>General</c:formatCode>
              <c:ptCount val="4"/>
              <c:pt idx="0">
                <c:v>227</c:v>
              </c:pt>
              <c:pt idx="1">
                <c:v>238</c:v>
              </c:pt>
              <c:pt idx="2">
                <c:v>39</c:v>
              </c:pt>
              <c:pt idx="3">
                <c:v>41</c:v>
              </c:pt>
            </c:numLit>
          </c:val>
          <c:extLst>
            <c:ext xmlns:c16="http://schemas.microsoft.com/office/drawing/2014/chart" uri="{C3380CC4-5D6E-409C-BE32-E72D297353CC}">
              <c16:uniqueId val="{00000000-421F-47DC-8432-337DB86BED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1"/>
        <c:overlap val="-27"/>
        <c:axId val="160338064"/>
        <c:axId val="160330384"/>
      </c:barChart>
      <c:catAx>
        <c:axId val="16033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Stories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30384"/>
        <c:crosses val="autoZero"/>
        <c:auto val="1"/>
        <c:lblAlgn val="ctr"/>
        <c:lblOffset val="100"/>
        <c:noMultiLvlLbl val="0"/>
      </c:catAx>
      <c:valAx>
        <c:axId val="16033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3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 6: Distribution</a:t>
            </a:r>
            <a:r>
              <a:rPr lang="en-US" baseline="0"/>
              <a:t> of Parking Spaces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</c:strLit>
          </c:cat>
          <c:val>
            <c:numLit>
              <c:formatCode>General</c:formatCode>
              <c:ptCount val="4"/>
              <c:pt idx="0">
                <c:v>299</c:v>
              </c:pt>
              <c:pt idx="1">
                <c:v>126</c:v>
              </c:pt>
              <c:pt idx="2">
                <c:v>108</c:v>
              </c:pt>
              <c:pt idx="3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00-5531-4208-A9D7-78937ACD8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348144"/>
        <c:axId val="160348624"/>
      </c:barChart>
      <c:catAx>
        <c:axId val="16034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Parking Spaces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48624"/>
        <c:crosses val="autoZero"/>
        <c:auto val="1"/>
        <c:lblAlgn val="ctr"/>
        <c:lblOffset val="100"/>
        <c:noMultiLvlLbl val="0"/>
      </c:catAx>
      <c:valAx>
        <c:axId val="16034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4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 7: House Price vs.</a:t>
            </a:r>
            <a:r>
              <a:rPr lang="en-US" baseline="0"/>
              <a:t> Area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'Processed Data'!$M$1</c:f>
              <c:strCache>
                <c:ptCount val="1"/>
                <c:pt idx="0">
                  <c:v>price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40000"/>
                  <a:lumOff val="60000"/>
                  <a:alpha val="73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chemeClr val="accent2">
                    <a:lumMod val="75000"/>
                  </a:schemeClr>
                </a:solidFill>
                <a:prstDash val="sysDot"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trendlineType val="poly"/>
            <c:order val="2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'Processed Data'!$A$2:$A$546</c:f>
              <c:numCache>
                <c:formatCode>General</c:formatCode>
                <c:ptCount val="545"/>
                <c:pt idx="0">
                  <c:v>7420</c:v>
                </c:pt>
                <c:pt idx="1">
                  <c:v>8960</c:v>
                </c:pt>
                <c:pt idx="2">
                  <c:v>9960</c:v>
                </c:pt>
                <c:pt idx="3">
                  <c:v>7500</c:v>
                </c:pt>
                <c:pt idx="4">
                  <c:v>7420</c:v>
                </c:pt>
                <c:pt idx="5">
                  <c:v>7500</c:v>
                </c:pt>
                <c:pt idx="6">
                  <c:v>8580</c:v>
                </c:pt>
                <c:pt idx="7">
                  <c:v>16200</c:v>
                </c:pt>
                <c:pt idx="8">
                  <c:v>8100</c:v>
                </c:pt>
                <c:pt idx="9">
                  <c:v>5750</c:v>
                </c:pt>
                <c:pt idx="10">
                  <c:v>13200</c:v>
                </c:pt>
                <c:pt idx="11">
                  <c:v>6000</c:v>
                </c:pt>
                <c:pt idx="12">
                  <c:v>6550</c:v>
                </c:pt>
                <c:pt idx="13">
                  <c:v>3500</c:v>
                </c:pt>
                <c:pt idx="14">
                  <c:v>7800</c:v>
                </c:pt>
                <c:pt idx="15">
                  <c:v>6000</c:v>
                </c:pt>
                <c:pt idx="16">
                  <c:v>6600</c:v>
                </c:pt>
                <c:pt idx="17">
                  <c:v>8500</c:v>
                </c:pt>
                <c:pt idx="18">
                  <c:v>4600</c:v>
                </c:pt>
                <c:pt idx="19">
                  <c:v>6420</c:v>
                </c:pt>
                <c:pt idx="20">
                  <c:v>4320</c:v>
                </c:pt>
                <c:pt idx="21">
                  <c:v>7155</c:v>
                </c:pt>
                <c:pt idx="22">
                  <c:v>8050</c:v>
                </c:pt>
                <c:pt idx="23">
                  <c:v>4560</c:v>
                </c:pt>
                <c:pt idx="24">
                  <c:v>8800</c:v>
                </c:pt>
                <c:pt idx="25">
                  <c:v>6540</c:v>
                </c:pt>
                <c:pt idx="26">
                  <c:v>6000</c:v>
                </c:pt>
                <c:pt idx="27">
                  <c:v>8875</c:v>
                </c:pt>
                <c:pt idx="28">
                  <c:v>7950</c:v>
                </c:pt>
                <c:pt idx="29">
                  <c:v>5500</c:v>
                </c:pt>
                <c:pt idx="30">
                  <c:v>7475</c:v>
                </c:pt>
                <c:pt idx="31">
                  <c:v>7000</c:v>
                </c:pt>
                <c:pt idx="32">
                  <c:v>4880</c:v>
                </c:pt>
                <c:pt idx="33">
                  <c:v>5960</c:v>
                </c:pt>
                <c:pt idx="34">
                  <c:v>6840</c:v>
                </c:pt>
                <c:pt idx="35">
                  <c:v>7000</c:v>
                </c:pt>
                <c:pt idx="36">
                  <c:v>7482</c:v>
                </c:pt>
                <c:pt idx="37">
                  <c:v>9000</c:v>
                </c:pt>
                <c:pt idx="38">
                  <c:v>6000</c:v>
                </c:pt>
                <c:pt idx="39">
                  <c:v>6000</c:v>
                </c:pt>
                <c:pt idx="40">
                  <c:v>6550</c:v>
                </c:pt>
                <c:pt idx="41">
                  <c:v>6360</c:v>
                </c:pt>
                <c:pt idx="42">
                  <c:v>6480</c:v>
                </c:pt>
                <c:pt idx="43">
                  <c:v>6000</c:v>
                </c:pt>
                <c:pt idx="44">
                  <c:v>6000</c:v>
                </c:pt>
                <c:pt idx="45">
                  <c:v>6000</c:v>
                </c:pt>
                <c:pt idx="46">
                  <c:v>6000</c:v>
                </c:pt>
                <c:pt idx="47">
                  <c:v>6600</c:v>
                </c:pt>
                <c:pt idx="48">
                  <c:v>4300</c:v>
                </c:pt>
                <c:pt idx="49">
                  <c:v>7440</c:v>
                </c:pt>
                <c:pt idx="50">
                  <c:v>7440</c:v>
                </c:pt>
                <c:pt idx="51">
                  <c:v>6325</c:v>
                </c:pt>
                <c:pt idx="52">
                  <c:v>6000</c:v>
                </c:pt>
                <c:pt idx="53">
                  <c:v>5150</c:v>
                </c:pt>
                <c:pt idx="54">
                  <c:v>6000</c:v>
                </c:pt>
                <c:pt idx="55">
                  <c:v>6000</c:v>
                </c:pt>
                <c:pt idx="56">
                  <c:v>11440</c:v>
                </c:pt>
                <c:pt idx="57">
                  <c:v>9000</c:v>
                </c:pt>
                <c:pt idx="58">
                  <c:v>7680</c:v>
                </c:pt>
                <c:pt idx="59">
                  <c:v>6000</c:v>
                </c:pt>
                <c:pt idx="60">
                  <c:v>6000</c:v>
                </c:pt>
                <c:pt idx="61">
                  <c:v>8880</c:v>
                </c:pt>
                <c:pt idx="62">
                  <c:v>6240</c:v>
                </c:pt>
                <c:pt idx="63">
                  <c:v>6360</c:v>
                </c:pt>
                <c:pt idx="64">
                  <c:v>11175</c:v>
                </c:pt>
                <c:pt idx="65">
                  <c:v>8880</c:v>
                </c:pt>
                <c:pt idx="66">
                  <c:v>13200</c:v>
                </c:pt>
                <c:pt idx="67">
                  <c:v>7700</c:v>
                </c:pt>
                <c:pt idx="68">
                  <c:v>6000</c:v>
                </c:pt>
                <c:pt idx="69">
                  <c:v>12090</c:v>
                </c:pt>
                <c:pt idx="70">
                  <c:v>4000</c:v>
                </c:pt>
                <c:pt idx="71">
                  <c:v>6000</c:v>
                </c:pt>
                <c:pt idx="72">
                  <c:v>5020</c:v>
                </c:pt>
                <c:pt idx="73">
                  <c:v>6600</c:v>
                </c:pt>
                <c:pt idx="74">
                  <c:v>4040</c:v>
                </c:pt>
                <c:pt idx="75">
                  <c:v>4260</c:v>
                </c:pt>
                <c:pt idx="76">
                  <c:v>6420</c:v>
                </c:pt>
                <c:pt idx="77">
                  <c:v>6500</c:v>
                </c:pt>
                <c:pt idx="78">
                  <c:v>5700</c:v>
                </c:pt>
                <c:pt idx="79">
                  <c:v>6000</c:v>
                </c:pt>
                <c:pt idx="80">
                  <c:v>6000</c:v>
                </c:pt>
                <c:pt idx="81">
                  <c:v>4000</c:v>
                </c:pt>
                <c:pt idx="82">
                  <c:v>10500</c:v>
                </c:pt>
                <c:pt idx="83">
                  <c:v>6000</c:v>
                </c:pt>
                <c:pt idx="84">
                  <c:v>3760</c:v>
                </c:pt>
                <c:pt idx="85">
                  <c:v>8250</c:v>
                </c:pt>
                <c:pt idx="86">
                  <c:v>6670</c:v>
                </c:pt>
                <c:pt idx="87">
                  <c:v>3960</c:v>
                </c:pt>
                <c:pt idx="88">
                  <c:v>7410</c:v>
                </c:pt>
                <c:pt idx="89">
                  <c:v>8580</c:v>
                </c:pt>
                <c:pt idx="90">
                  <c:v>5000</c:v>
                </c:pt>
                <c:pt idx="91">
                  <c:v>6750</c:v>
                </c:pt>
                <c:pt idx="92">
                  <c:v>4800</c:v>
                </c:pt>
                <c:pt idx="93">
                  <c:v>7200</c:v>
                </c:pt>
                <c:pt idx="94">
                  <c:v>6000</c:v>
                </c:pt>
                <c:pt idx="95">
                  <c:v>4100</c:v>
                </c:pt>
                <c:pt idx="96">
                  <c:v>9000</c:v>
                </c:pt>
                <c:pt idx="97">
                  <c:v>6400</c:v>
                </c:pt>
                <c:pt idx="98">
                  <c:v>6600</c:v>
                </c:pt>
                <c:pt idx="99">
                  <c:v>6000</c:v>
                </c:pt>
                <c:pt idx="100">
                  <c:v>6600</c:v>
                </c:pt>
                <c:pt idx="101">
                  <c:v>5500</c:v>
                </c:pt>
                <c:pt idx="102">
                  <c:v>5500</c:v>
                </c:pt>
                <c:pt idx="103">
                  <c:v>6350</c:v>
                </c:pt>
                <c:pt idx="104">
                  <c:v>5500</c:v>
                </c:pt>
                <c:pt idx="105">
                  <c:v>4500</c:v>
                </c:pt>
                <c:pt idx="106">
                  <c:v>5450</c:v>
                </c:pt>
                <c:pt idx="107">
                  <c:v>6420</c:v>
                </c:pt>
                <c:pt idx="108">
                  <c:v>3240</c:v>
                </c:pt>
                <c:pt idx="109">
                  <c:v>6615</c:v>
                </c:pt>
                <c:pt idx="110">
                  <c:v>6600</c:v>
                </c:pt>
                <c:pt idx="111">
                  <c:v>8372</c:v>
                </c:pt>
                <c:pt idx="112">
                  <c:v>4300</c:v>
                </c:pt>
                <c:pt idx="113">
                  <c:v>9620</c:v>
                </c:pt>
                <c:pt idx="114">
                  <c:v>6800</c:v>
                </c:pt>
                <c:pt idx="115">
                  <c:v>8000</c:v>
                </c:pt>
                <c:pt idx="116">
                  <c:v>6900</c:v>
                </c:pt>
                <c:pt idx="117">
                  <c:v>3700</c:v>
                </c:pt>
                <c:pt idx="118">
                  <c:v>6420</c:v>
                </c:pt>
                <c:pt idx="119">
                  <c:v>7020</c:v>
                </c:pt>
                <c:pt idx="120">
                  <c:v>6540</c:v>
                </c:pt>
                <c:pt idx="121">
                  <c:v>7231</c:v>
                </c:pt>
                <c:pt idx="122">
                  <c:v>6254</c:v>
                </c:pt>
                <c:pt idx="123">
                  <c:v>7320</c:v>
                </c:pt>
                <c:pt idx="124">
                  <c:v>6525</c:v>
                </c:pt>
                <c:pt idx="125">
                  <c:v>15600</c:v>
                </c:pt>
                <c:pt idx="126">
                  <c:v>7160</c:v>
                </c:pt>
                <c:pt idx="127">
                  <c:v>6500</c:v>
                </c:pt>
                <c:pt idx="128">
                  <c:v>5500</c:v>
                </c:pt>
                <c:pt idx="129">
                  <c:v>11460</c:v>
                </c:pt>
                <c:pt idx="130">
                  <c:v>4800</c:v>
                </c:pt>
                <c:pt idx="131">
                  <c:v>5828</c:v>
                </c:pt>
                <c:pt idx="132">
                  <c:v>5200</c:v>
                </c:pt>
                <c:pt idx="133">
                  <c:v>4800</c:v>
                </c:pt>
                <c:pt idx="134">
                  <c:v>7000</c:v>
                </c:pt>
                <c:pt idx="135">
                  <c:v>6000</c:v>
                </c:pt>
                <c:pt idx="136">
                  <c:v>5400</c:v>
                </c:pt>
                <c:pt idx="137">
                  <c:v>4640</c:v>
                </c:pt>
                <c:pt idx="138">
                  <c:v>5000</c:v>
                </c:pt>
                <c:pt idx="139">
                  <c:v>6360</c:v>
                </c:pt>
                <c:pt idx="140">
                  <c:v>5800</c:v>
                </c:pt>
                <c:pt idx="141">
                  <c:v>6660</c:v>
                </c:pt>
                <c:pt idx="142">
                  <c:v>10500</c:v>
                </c:pt>
                <c:pt idx="143">
                  <c:v>4800</c:v>
                </c:pt>
                <c:pt idx="144">
                  <c:v>4700</c:v>
                </c:pt>
                <c:pt idx="145">
                  <c:v>5000</c:v>
                </c:pt>
                <c:pt idx="146">
                  <c:v>10500</c:v>
                </c:pt>
                <c:pt idx="147">
                  <c:v>5500</c:v>
                </c:pt>
                <c:pt idx="148">
                  <c:v>6360</c:v>
                </c:pt>
                <c:pt idx="149">
                  <c:v>6600</c:v>
                </c:pt>
                <c:pt idx="150">
                  <c:v>5136</c:v>
                </c:pt>
                <c:pt idx="151">
                  <c:v>4400</c:v>
                </c:pt>
                <c:pt idx="152">
                  <c:v>5400</c:v>
                </c:pt>
                <c:pt idx="153">
                  <c:v>3300</c:v>
                </c:pt>
                <c:pt idx="154">
                  <c:v>3650</c:v>
                </c:pt>
                <c:pt idx="155">
                  <c:v>6100</c:v>
                </c:pt>
                <c:pt idx="156">
                  <c:v>6900</c:v>
                </c:pt>
                <c:pt idx="157">
                  <c:v>2817</c:v>
                </c:pt>
                <c:pt idx="158">
                  <c:v>7980</c:v>
                </c:pt>
                <c:pt idx="159">
                  <c:v>3150</c:v>
                </c:pt>
                <c:pt idx="160">
                  <c:v>6210</c:v>
                </c:pt>
                <c:pt idx="161">
                  <c:v>6100</c:v>
                </c:pt>
                <c:pt idx="162">
                  <c:v>6600</c:v>
                </c:pt>
                <c:pt idx="163">
                  <c:v>6825</c:v>
                </c:pt>
                <c:pt idx="164">
                  <c:v>6710</c:v>
                </c:pt>
                <c:pt idx="165">
                  <c:v>6450</c:v>
                </c:pt>
                <c:pt idx="166">
                  <c:v>7800</c:v>
                </c:pt>
                <c:pt idx="167">
                  <c:v>4600</c:v>
                </c:pt>
                <c:pt idx="168">
                  <c:v>4260</c:v>
                </c:pt>
                <c:pt idx="169">
                  <c:v>6540</c:v>
                </c:pt>
                <c:pt idx="170">
                  <c:v>5500</c:v>
                </c:pt>
                <c:pt idx="171">
                  <c:v>10269</c:v>
                </c:pt>
                <c:pt idx="172">
                  <c:v>8400</c:v>
                </c:pt>
                <c:pt idx="173">
                  <c:v>5300</c:v>
                </c:pt>
                <c:pt idx="174">
                  <c:v>3800</c:v>
                </c:pt>
                <c:pt idx="175">
                  <c:v>9800</c:v>
                </c:pt>
                <c:pt idx="176">
                  <c:v>8520</c:v>
                </c:pt>
                <c:pt idx="177">
                  <c:v>6050</c:v>
                </c:pt>
                <c:pt idx="178">
                  <c:v>7085</c:v>
                </c:pt>
                <c:pt idx="179">
                  <c:v>3180</c:v>
                </c:pt>
                <c:pt idx="180">
                  <c:v>4500</c:v>
                </c:pt>
                <c:pt idx="181">
                  <c:v>7200</c:v>
                </c:pt>
                <c:pt idx="182">
                  <c:v>3410</c:v>
                </c:pt>
                <c:pt idx="183">
                  <c:v>7980</c:v>
                </c:pt>
                <c:pt idx="184">
                  <c:v>3000</c:v>
                </c:pt>
                <c:pt idx="185">
                  <c:v>3000</c:v>
                </c:pt>
                <c:pt idx="186">
                  <c:v>11410</c:v>
                </c:pt>
                <c:pt idx="187">
                  <c:v>6100</c:v>
                </c:pt>
                <c:pt idx="188">
                  <c:v>5720</c:v>
                </c:pt>
                <c:pt idx="189">
                  <c:v>3540</c:v>
                </c:pt>
                <c:pt idx="190">
                  <c:v>7600</c:v>
                </c:pt>
                <c:pt idx="191">
                  <c:v>10700</c:v>
                </c:pt>
                <c:pt idx="192">
                  <c:v>6600</c:v>
                </c:pt>
                <c:pt idx="193">
                  <c:v>4800</c:v>
                </c:pt>
                <c:pt idx="194">
                  <c:v>8150</c:v>
                </c:pt>
                <c:pt idx="195">
                  <c:v>4410</c:v>
                </c:pt>
                <c:pt idx="196">
                  <c:v>7686</c:v>
                </c:pt>
                <c:pt idx="197">
                  <c:v>2800</c:v>
                </c:pt>
                <c:pt idx="198">
                  <c:v>5948</c:v>
                </c:pt>
                <c:pt idx="199">
                  <c:v>4200</c:v>
                </c:pt>
                <c:pt idx="200">
                  <c:v>4520</c:v>
                </c:pt>
                <c:pt idx="201">
                  <c:v>4095</c:v>
                </c:pt>
                <c:pt idx="202">
                  <c:v>4120</c:v>
                </c:pt>
                <c:pt idx="203">
                  <c:v>5400</c:v>
                </c:pt>
                <c:pt idx="204">
                  <c:v>4770</c:v>
                </c:pt>
                <c:pt idx="205">
                  <c:v>6300</c:v>
                </c:pt>
                <c:pt idx="206">
                  <c:v>5800</c:v>
                </c:pt>
                <c:pt idx="207">
                  <c:v>3000</c:v>
                </c:pt>
                <c:pt idx="208">
                  <c:v>2970</c:v>
                </c:pt>
                <c:pt idx="209">
                  <c:v>6720</c:v>
                </c:pt>
                <c:pt idx="210">
                  <c:v>4646</c:v>
                </c:pt>
                <c:pt idx="211">
                  <c:v>12900</c:v>
                </c:pt>
                <c:pt idx="212">
                  <c:v>3420</c:v>
                </c:pt>
                <c:pt idx="213">
                  <c:v>4995</c:v>
                </c:pt>
                <c:pt idx="214">
                  <c:v>4350</c:v>
                </c:pt>
                <c:pt idx="215">
                  <c:v>4160</c:v>
                </c:pt>
                <c:pt idx="216">
                  <c:v>6040</c:v>
                </c:pt>
                <c:pt idx="217">
                  <c:v>6862</c:v>
                </c:pt>
                <c:pt idx="218">
                  <c:v>4815</c:v>
                </c:pt>
                <c:pt idx="219">
                  <c:v>7000</c:v>
                </c:pt>
                <c:pt idx="220">
                  <c:v>8100</c:v>
                </c:pt>
                <c:pt idx="221">
                  <c:v>3420</c:v>
                </c:pt>
                <c:pt idx="222">
                  <c:v>9166</c:v>
                </c:pt>
                <c:pt idx="223">
                  <c:v>6321</c:v>
                </c:pt>
                <c:pt idx="224">
                  <c:v>10240</c:v>
                </c:pt>
                <c:pt idx="225">
                  <c:v>6440</c:v>
                </c:pt>
                <c:pt idx="226">
                  <c:v>5170</c:v>
                </c:pt>
                <c:pt idx="227">
                  <c:v>6000</c:v>
                </c:pt>
                <c:pt idx="228">
                  <c:v>3630</c:v>
                </c:pt>
                <c:pt idx="229">
                  <c:v>9667</c:v>
                </c:pt>
                <c:pt idx="230">
                  <c:v>5400</c:v>
                </c:pt>
                <c:pt idx="231">
                  <c:v>4320</c:v>
                </c:pt>
                <c:pt idx="232">
                  <c:v>3745</c:v>
                </c:pt>
                <c:pt idx="233">
                  <c:v>4160</c:v>
                </c:pt>
                <c:pt idx="234">
                  <c:v>3880</c:v>
                </c:pt>
                <c:pt idx="235">
                  <c:v>5680</c:v>
                </c:pt>
                <c:pt idx="236">
                  <c:v>2870</c:v>
                </c:pt>
                <c:pt idx="237">
                  <c:v>5010</c:v>
                </c:pt>
                <c:pt idx="238">
                  <c:v>4510</c:v>
                </c:pt>
                <c:pt idx="239">
                  <c:v>4000</c:v>
                </c:pt>
                <c:pt idx="240">
                  <c:v>3840</c:v>
                </c:pt>
                <c:pt idx="241">
                  <c:v>3760</c:v>
                </c:pt>
                <c:pt idx="242">
                  <c:v>3640</c:v>
                </c:pt>
                <c:pt idx="243">
                  <c:v>2550</c:v>
                </c:pt>
                <c:pt idx="244">
                  <c:v>5320</c:v>
                </c:pt>
                <c:pt idx="245">
                  <c:v>5360</c:v>
                </c:pt>
                <c:pt idx="246">
                  <c:v>3520</c:v>
                </c:pt>
                <c:pt idx="247">
                  <c:v>8400</c:v>
                </c:pt>
                <c:pt idx="248">
                  <c:v>4100</c:v>
                </c:pt>
                <c:pt idx="249">
                  <c:v>4990</c:v>
                </c:pt>
                <c:pt idx="250">
                  <c:v>3510</c:v>
                </c:pt>
                <c:pt idx="251">
                  <c:v>3450</c:v>
                </c:pt>
                <c:pt idx="252">
                  <c:v>9860</c:v>
                </c:pt>
                <c:pt idx="253">
                  <c:v>3520</c:v>
                </c:pt>
                <c:pt idx="254">
                  <c:v>4510</c:v>
                </c:pt>
                <c:pt idx="255">
                  <c:v>5885</c:v>
                </c:pt>
                <c:pt idx="256">
                  <c:v>4000</c:v>
                </c:pt>
                <c:pt idx="257">
                  <c:v>8250</c:v>
                </c:pt>
                <c:pt idx="258">
                  <c:v>4040</c:v>
                </c:pt>
                <c:pt idx="259">
                  <c:v>6360</c:v>
                </c:pt>
                <c:pt idx="260">
                  <c:v>3162</c:v>
                </c:pt>
                <c:pt idx="261">
                  <c:v>3510</c:v>
                </c:pt>
                <c:pt idx="262">
                  <c:v>3750</c:v>
                </c:pt>
                <c:pt idx="263">
                  <c:v>3968</c:v>
                </c:pt>
                <c:pt idx="264">
                  <c:v>4900</c:v>
                </c:pt>
                <c:pt idx="265">
                  <c:v>2880</c:v>
                </c:pt>
                <c:pt idx="266">
                  <c:v>4880</c:v>
                </c:pt>
                <c:pt idx="267">
                  <c:v>4920</c:v>
                </c:pt>
                <c:pt idx="268">
                  <c:v>4950</c:v>
                </c:pt>
                <c:pt idx="269">
                  <c:v>3900</c:v>
                </c:pt>
                <c:pt idx="270">
                  <c:v>4500</c:v>
                </c:pt>
                <c:pt idx="271">
                  <c:v>1905</c:v>
                </c:pt>
                <c:pt idx="272">
                  <c:v>4075</c:v>
                </c:pt>
                <c:pt idx="273">
                  <c:v>3500</c:v>
                </c:pt>
                <c:pt idx="274">
                  <c:v>6450</c:v>
                </c:pt>
                <c:pt idx="275">
                  <c:v>4032</c:v>
                </c:pt>
                <c:pt idx="276">
                  <c:v>4400</c:v>
                </c:pt>
                <c:pt idx="277">
                  <c:v>10360</c:v>
                </c:pt>
                <c:pt idx="278">
                  <c:v>3400</c:v>
                </c:pt>
                <c:pt idx="279">
                  <c:v>6360</c:v>
                </c:pt>
                <c:pt idx="280">
                  <c:v>6360</c:v>
                </c:pt>
                <c:pt idx="281">
                  <c:v>4500</c:v>
                </c:pt>
                <c:pt idx="282">
                  <c:v>2175</c:v>
                </c:pt>
                <c:pt idx="283">
                  <c:v>4360</c:v>
                </c:pt>
                <c:pt idx="284">
                  <c:v>7770</c:v>
                </c:pt>
                <c:pt idx="285">
                  <c:v>6650</c:v>
                </c:pt>
                <c:pt idx="286">
                  <c:v>2787</c:v>
                </c:pt>
                <c:pt idx="287">
                  <c:v>5500</c:v>
                </c:pt>
                <c:pt idx="288">
                  <c:v>5040</c:v>
                </c:pt>
                <c:pt idx="289">
                  <c:v>5850</c:v>
                </c:pt>
                <c:pt idx="290">
                  <c:v>2610</c:v>
                </c:pt>
                <c:pt idx="291">
                  <c:v>2953</c:v>
                </c:pt>
                <c:pt idx="292">
                  <c:v>2747</c:v>
                </c:pt>
                <c:pt idx="293">
                  <c:v>4410</c:v>
                </c:pt>
                <c:pt idx="294">
                  <c:v>4000</c:v>
                </c:pt>
                <c:pt idx="295">
                  <c:v>2325</c:v>
                </c:pt>
                <c:pt idx="296">
                  <c:v>4600</c:v>
                </c:pt>
                <c:pt idx="297">
                  <c:v>3640</c:v>
                </c:pt>
                <c:pt idx="298">
                  <c:v>5800</c:v>
                </c:pt>
                <c:pt idx="299">
                  <c:v>7000</c:v>
                </c:pt>
                <c:pt idx="300">
                  <c:v>4079</c:v>
                </c:pt>
                <c:pt idx="301">
                  <c:v>3520</c:v>
                </c:pt>
                <c:pt idx="302">
                  <c:v>2145</c:v>
                </c:pt>
                <c:pt idx="303">
                  <c:v>4500</c:v>
                </c:pt>
                <c:pt idx="304">
                  <c:v>8250</c:v>
                </c:pt>
                <c:pt idx="305">
                  <c:v>3450</c:v>
                </c:pt>
                <c:pt idx="306">
                  <c:v>4840</c:v>
                </c:pt>
                <c:pt idx="307">
                  <c:v>4080</c:v>
                </c:pt>
                <c:pt idx="308">
                  <c:v>4046</c:v>
                </c:pt>
                <c:pt idx="309">
                  <c:v>4632</c:v>
                </c:pt>
                <c:pt idx="310">
                  <c:v>5985</c:v>
                </c:pt>
                <c:pt idx="311">
                  <c:v>6060</c:v>
                </c:pt>
                <c:pt idx="312">
                  <c:v>3600</c:v>
                </c:pt>
                <c:pt idx="313">
                  <c:v>3680</c:v>
                </c:pt>
                <c:pt idx="314">
                  <c:v>4040</c:v>
                </c:pt>
                <c:pt idx="315">
                  <c:v>5600</c:v>
                </c:pt>
                <c:pt idx="316">
                  <c:v>5900</c:v>
                </c:pt>
                <c:pt idx="317">
                  <c:v>4992</c:v>
                </c:pt>
                <c:pt idx="318">
                  <c:v>4340</c:v>
                </c:pt>
                <c:pt idx="319">
                  <c:v>3000</c:v>
                </c:pt>
                <c:pt idx="320">
                  <c:v>4320</c:v>
                </c:pt>
                <c:pt idx="321">
                  <c:v>3630</c:v>
                </c:pt>
                <c:pt idx="322">
                  <c:v>3460</c:v>
                </c:pt>
                <c:pt idx="323">
                  <c:v>5400</c:v>
                </c:pt>
                <c:pt idx="324">
                  <c:v>4500</c:v>
                </c:pt>
                <c:pt idx="325">
                  <c:v>3460</c:v>
                </c:pt>
                <c:pt idx="326">
                  <c:v>4100</c:v>
                </c:pt>
                <c:pt idx="327">
                  <c:v>6480</c:v>
                </c:pt>
                <c:pt idx="328">
                  <c:v>4500</c:v>
                </c:pt>
                <c:pt idx="329">
                  <c:v>3960</c:v>
                </c:pt>
                <c:pt idx="330">
                  <c:v>4050</c:v>
                </c:pt>
                <c:pt idx="331">
                  <c:v>7260</c:v>
                </c:pt>
                <c:pt idx="332">
                  <c:v>5500</c:v>
                </c:pt>
                <c:pt idx="333">
                  <c:v>3000</c:v>
                </c:pt>
                <c:pt idx="334">
                  <c:v>3290</c:v>
                </c:pt>
                <c:pt idx="335">
                  <c:v>3816</c:v>
                </c:pt>
                <c:pt idx="336">
                  <c:v>8080</c:v>
                </c:pt>
                <c:pt idx="337">
                  <c:v>2145</c:v>
                </c:pt>
                <c:pt idx="338">
                  <c:v>3780</c:v>
                </c:pt>
                <c:pt idx="339">
                  <c:v>3180</c:v>
                </c:pt>
                <c:pt idx="340">
                  <c:v>5300</c:v>
                </c:pt>
                <c:pt idx="341">
                  <c:v>3180</c:v>
                </c:pt>
                <c:pt idx="342">
                  <c:v>7152</c:v>
                </c:pt>
                <c:pt idx="343">
                  <c:v>4080</c:v>
                </c:pt>
                <c:pt idx="344">
                  <c:v>3850</c:v>
                </c:pt>
                <c:pt idx="345">
                  <c:v>2015</c:v>
                </c:pt>
                <c:pt idx="346">
                  <c:v>2176</c:v>
                </c:pt>
                <c:pt idx="347">
                  <c:v>3350</c:v>
                </c:pt>
                <c:pt idx="348">
                  <c:v>3150</c:v>
                </c:pt>
                <c:pt idx="349">
                  <c:v>4820</c:v>
                </c:pt>
                <c:pt idx="350">
                  <c:v>3420</c:v>
                </c:pt>
                <c:pt idx="351">
                  <c:v>3600</c:v>
                </c:pt>
                <c:pt idx="352">
                  <c:v>5830</c:v>
                </c:pt>
                <c:pt idx="353">
                  <c:v>2856</c:v>
                </c:pt>
                <c:pt idx="354">
                  <c:v>8400</c:v>
                </c:pt>
                <c:pt idx="355">
                  <c:v>8250</c:v>
                </c:pt>
                <c:pt idx="356">
                  <c:v>2520</c:v>
                </c:pt>
                <c:pt idx="357">
                  <c:v>6930</c:v>
                </c:pt>
                <c:pt idx="358">
                  <c:v>3480</c:v>
                </c:pt>
                <c:pt idx="359">
                  <c:v>3600</c:v>
                </c:pt>
                <c:pt idx="360">
                  <c:v>4040</c:v>
                </c:pt>
                <c:pt idx="361">
                  <c:v>6020</c:v>
                </c:pt>
                <c:pt idx="362">
                  <c:v>4050</c:v>
                </c:pt>
                <c:pt idx="363">
                  <c:v>3584</c:v>
                </c:pt>
                <c:pt idx="364">
                  <c:v>3120</c:v>
                </c:pt>
                <c:pt idx="365">
                  <c:v>5450</c:v>
                </c:pt>
                <c:pt idx="366">
                  <c:v>3630</c:v>
                </c:pt>
                <c:pt idx="367">
                  <c:v>3630</c:v>
                </c:pt>
                <c:pt idx="368">
                  <c:v>5640</c:v>
                </c:pt>
                <c:pt idx="369">
                  <c:v>3600</c:v>
                </c:pt>
                <c:pt idx="370">
                  <c:v>4280</c:v>
                </c:pt>
                <c:pt idx="371">
                  <c:v>3570</c:v>
                </c:pt>
                <c:pt idx="372">
                  <c:v>3180</c:v>
                </c:pt>
                <c:pt idx="373">
                  <c:v>3000</c:v>
                </c:pt>
                <c:pt idx="374">
                  <c:v>3520</c:v>
                </c:pt>
                <c:pt idx="375">
                  <c:v>5960</c:v>
                </c:pt>
                <c:pt idx="376">
                  <c:v>4130</c:v>
                </c:pt>
                <c:pt idx="377">
                  <c:v>2850</c:v>
                </c:pt>
                <c:pt idx="378">
                  <c:v>2275</c:v>
                </c:pt>
                <c:pt idx="379">
                  <c:v>3520</c:v>
                </c:pt>
                <c:pt idx="380">
                  <c:v>4500</c:v>
                </c:pt>
                <c:pt idx="381">
                  <c:v>4000</c:v>
                </c:pt>
                <c:pt idx="382">
                  <c:v>3150</c:v>
                </c:pt>
                <c:pt idx="383">
                  <c:v>4500</c:v>
                </c:pt>
                <c:pt idx="384">
                  <c:v>4500</c:v>
                </c:pt>
                <c:pt idx="385">
                  <c:v>3640</c:v>
                </c:pt>
                <c:pt idx="386">
                  <c:v>3850</c:v>
                </c:pt>
                <c:pt idx="387">
                  <c:v>4240</c:v>
                </c:pt>
                <c:pt idx="388">
                  <c:v>3650</c:v>
                </c:pt>
                <c:pt idx="389">
                  <c:v>4600</c:v>
                </c:pt>
                <c:pt idx="390">
                  <c:v>2135</c:v>
                </c:pt>
                <c:pt idx="391">
                  <c:v>3036</c:v>
                </c:pt>
                <c:pt idx="392">
                  <c:v>3990</c:v>
                </c:pt>
                <c:pt idx="393">
                  <c:v>7424</c:v>
                </c:pt>
                <c:pt idx="394">
                  <c:v>3480</c:v>
                </c:pt>
                <c:pt idx="395">
                  <c:v>3600</c:v>
                </c:pt>
                <c:pt idx="396">
                  <c:v>3640</c:v>
                </c:pt>
                <c:pt idx="397">
                  <c:v>5900</c:v>
                </c:pt>
                <c:pt idx="398">
                  <c:v>3120</c:v>
                </c:pt>
                <c:pt idx="399">
                  <c:v>7350</c:v>
                </c:pt>
                <c:pt idx="400">
                  <c:v>3512</c:v>
                </c:pt>
                <c:pt idx="401">
                  <c:v>9500</c:v>
                </c:pt>
                <c:pt idx="402">
                  <c:v>5880</c:v>
                </c:pt>
                <c:pt idx="403">
                  <c:v>12944</c:v>
                </c:pt>
                <c:pt idx="404">
                  <c:v>4900</c:v>
                </c:pt>
                <c:pt idx="405">
                  <c:v>3060</c:v>
                </c:pt>
                <c:pt idx="406">
                  <c:v>5320</c:v>
                </c:pt>
                <c:pt idx="407">
                  <c:v>2145</c:v>
                </c:pt>
                <c:pt idx="408">
                  <c:v>4000</c:v>
                </c:pt>
                <c:pt idx="409">
                  <c:v>3185</c:v>
                </c:pt>
                <c:pt idx="410">
                  <c:v>3850</c:v>
                </c:pt>
                <c:pt idx="411">
                  <c:v>2145</c:v>
                </c:pt>
                <c:pt idx="412">
                  <c:v>2610</c:v>
                </c:pt>
                <c:pt idx="413">
                  <c:v>1950</c:v>
                </c:pt>
                <c:pt idx="414">
                  <c:v>4040</c:v>
                </c:pt>
                <c:pt idx="415">
                  <c:v>4785</c:v>
                </c:pt>
                <c:pt idx="416">
                  <c:v>3450</c:v>
                </c:pt>
                <c:pt idx="417">
                  <c:v>3640</c:v>
                </c:pt>
                <c:pt idx="418">
                  <c:v>3500</c:v>
                </c:pt>
                <c:pt idx="419">
                  <c:v>4960</c:v>
                </c:pt>
                <c:pt idx="420">
                  <c:v>4120</c:v>
                </c:pt>
                <c:pt idx="421">
                  <c:v>4750</c:v>
                </c:pt>
                <c:pt idx="422">
                  <c:v>3720</c:v>
                </c:pt>
                <c:pt idx="423">
                  <c:v>3750</c:v>
                </c:pt>
                <c:pt idx="424">
                  <c:v>3100</c:v>
                </c:pt>
                <c:pt idx="425">
                  <c:v>3185</c:v>
                </c:pt>
                <c:pt idx="426">
                  <c:v>2700</c:v>
                </c:pt>
                <c:pt idx="427">
                  <c:v>2145</c:v>
                </c:pt>
                <c:pt idx="428">
                  <c:v>4040</c:v>
                </c:pt>
                <c:pt idx="429">
                  <c:v>4775</c:v>
                </c:pt>
                <c:pt idx="430">
                  <c:v>2500</c:v>
                </c:pt>
                <c:pt idx="431">
                  <c:v>3180</c:v>
                </c:pt>
                <c:pt idx="432">
                  <c:v>6060</c:v>
                </c:pt>
                <c:pt idx="433">
                  <c:v>3480</c:v>
                </c:pt>
                <c:pt idx="434">
                  <c:v>3792</c:v>
                </c:pt>
                <c:pt idx="435">
                  <c:v>4040</c:v>
                </c:pt>
                <c:pt idx="436">
                  <c:v>2145</c:v>
                </c:pt>
                <c:pt idx="437">
                  <c:v>5880</c:v>
                </c:pt>
                <c:pt idx="438">
                  <c:v>4500</c:v>
                </c:pt>
                <c:pt idx="439">
                  <c:v>3930</c:v>
                </c:pt>
                <c:pt idx="440">
                  <c:v>3640</c:v>
                </c:pt>
                <c:pt idx="441">
                  <c:v>4370</c:v>
                </c:pt>
                <c:pt idx="442">
                  <c:v>2684</c:v>
                </c:pt>
                <c:pt idx="443">
                  <c:v>4320</c:v>
                </c:pt>
                <c:pt idx="444">
                  <c:v>3120</c:v>
                </c:pt>
                <c:pt idx="445">
                  <c:v>3450</c:v>
                </c:pt>
                <c:pt idx="446">
                  <c:v>3986</c:v>
                </c:pt>
                <c:pt idx="447">
                  <c:v>3500</c:v>
                </c:pt>
                <c:pt idx="448">
                  <c:v>4095</c:v>
                </c:pt>
                <c:pt idx="449">
                  <c:v>1650</c:v>
                </c:pt>
                <c:pt idx="450">
                  <c:v>3450</c:v>
                </c:pt>
                <c:pt idx="451">
                  <c:v>6750</c:v>
                </c:pt>
                <c:pt idx="452">
                  <c:v>9000</c:v>
                </c:pt>
                <c:pt idx="453">
                  <c:v>3069</c:v>
                </c:pt>
                <c:pt idx="454">
                  <c:v>4500</c:v>
                </c:pt>
                <c:pt idx="455">
                  <c:v>5495</c:v>
                </c:pt>
                <c:pt idx="456">
                  <c:v>2398</c:v>
                </c:pt>
                <c:pt idx="457">
                  <c:v>3000</c:v>
                </c:pt>
                <c:pt idx="458">
                  <c:v>3850</c:v>
                </c:pt>
                <c:pt idx="459">
                  <c:v>3500</c:v>
                </c:pt>
                <c:pt idx="460">
                  <c:v>8100</c:v>
                </c:pt>
                <c:pt idx="461">
                  <c:v>4960</c:v>
                </c:pt>
                <c:pt idx="462">
                  <c:v>2160</c:v>
                </c:pt>
                <c:pt idx="463">
                  <c:v>3090</c:v>
                </c:pt>
                <c:pt idx="464">
                  <c:v>4500</c:v>
                </c:pt>
                <c:pt idx="465">
                  <c:v>3800</c:v>
                </c:pt>
                <c:pt idx="466">
                  <c:v>3090</c:v>
                </c:pt>
                <c:pt idx="467">
                  <c:v>3240</c:v>
                </c:pt>
                <c:pt idx="468">
                  <c:v>2835</c:v>
                </c:pt>
                <c:pt idx="469">
                  <c:v>4600</c:v>
                </c:pt>
                <c:pt idx="470">
                  <c:v>5076</c:v>
                </c:pt>
                <c:pt idx="471">
                  <c:v>3750</c:v>
                </c:pt>
                <c:pt idx="472">
                  <c:v>3630</c:v>
                </c:pt>
                <c:pt idx="473">
                  <c:v>8050</c:v>
                </c:pt>
                <c:pt idx="474">
                  <c:v>4352</c:v>
                </c:pt>
                <c:pt idx="475">
                  <c:v>3000</c:v>
                </c:pt>
                <c:pt idx="476">
                  <c:v>5850</c:v>
                </c:pt>
                <c:pt idx="477">
                  <c:v>4960</c:v>
                </c:pt>
                <c:pt idx="478">
                  <c:v>3600</c:v>
                </c:pt>
                <c:pt idx="479">
                  <c:v>3660</c:v>
                </c:pt>
                <c:pt idx="480">
                  <c:v>3480</c:v>
                </c:pt>
                <c:pt idx="481">
                  <c:v>2700</c:v>
                </c:pt>
                <c:pt idx="482">
                  <c:v>3150</c:v>
                </c:pt>
                <c:pt idx="483">
                  <c:v>6615</c:v>
                </c:pt>
                <c:pt idx="484">
                  <c:v>3040</c:v>
                </c:pt>
                <c:pt idx="485">
                  <c:v>3630</c:v>
                </c:pt>
                <c:pt idx="486">
                  <c:v>6000</c:v>
                </c:pt>
                <c:pt idx="487">
                  <c:v>5400</c:v>
                </c:pt>
                <c:pt idx="488">
                  <c:v>5200</c:v>
                </c:pt>
                <c:pt idx="489">
                  <c:v>3300</c:v>
                </c:pt>
                <c:pt idx="490">
                  <c:v>4350</c:v>
                </c:pt>
                <c:pt idx="491">
                  <c:v>2640</c:v>
                </c:pt>
                <c:pt idx="492">
                  <c:v>2650</c:v>
                </c:pt>
                <c:pt idx="493">
                  <c:v>3960</c:v>
                </c:pt>
                <c:pt idx="494">
                  <c:v>6800</c:v>
                </c:pt>
                <c:pt idx="495">
                  <c:v>4000</c:v>
                </c:pt>
                <c:pt idx="496">
                  <c:v>4000</c:v>
                </c:pt>
                <c:pt idx="497">
                  <c:v>3934</c:v>
                </c:pt>
                <c:pt idx="498">
                  <c:v>2000</c:v>
                </c:pt>
                <c:pt idx="499">
                  <c:v>3630</c:v>
                </c:pt>
                <c:pt idx="500">
                  <c:v>2800</c:v>
                </c:pt>
                <c:pt idx="501">
                  <c:v>2430</c:v>
                </c:pt>
                <c:pt idx="502">
                  <c:v>3480</c:v>
                </c:pt>
                <c:pt idx="503">
                  <c:v>4000</c:v>
                </c:pt>
                <c:pt idx="504">
                  <c:v>3185</c:v>
                </c:pt>
                <c:pt idx="505">
                  <c:v>4000</c:v>
                </c:pt>
                <c:pt idx="506">
                  <c:v>2910</c:v>
                </c:pt>
                <c:pt idx="507">
                  <c:v>3600</c:v>
                </c:pt>
                <c:pt idx="508">
                  <c:v>4400</c:v>
                </c:pt>
                <c:pt idx="509">
                  <c:v>3600</c:v>
                </c:pt>
                <c:pt idx="510">
                  <c:v>2880</c:v>
                </c:pt>
                <c:pt idx="511">
                  <c:v>3180</c:v>
                </c:pt>
                <c:pt idx="512">
                  <c:v>3000</c:v>
                </c:pt>
                <c:pt idx="513">
                  <c:v>4400</c:v>
                </c:pt>
                <c:pt idx="514">
                  <c:v>3000</c:v>
                </c:pt>
                <c:pt idx="515">
                  <c:v>3210</c:v>
                </c:pt>
                <c:pt idx="516">
                  <c:v>3240</c:v>
                </c:pt>
                <c:pt idx="517">
                  <c:v>3000</c:v>
                </c:pt>
                <c:pt idx="518">
                  <c:v>3500</c:v>
                </c:pt>
                <c:pt idx="519">
                  <c:v>4840</c:v>
                </c:pt>
                <c:pt idx="520">
                  <c:v>7700</c:v>
                </c:pt>
                <c:pt idx="521">
                  <c:v>3635</c:v>
                </c:pt>
                <c:pt idx="522">
                  <c:v>2475</c:v>
                </c:pt>
                <c:pt idx="523">
                  <c:v>2787</c:v>
                </c:pt>
                <c:pt idx="524">
                  <c:v>3264</c:v>
                </c:pt>
                <c:pt idx="525">
                  <c:v>3640</c:v>
                </c:pt>
                <c:pt idx="526">
                  <c:v>3180</c:v>
                </c:pt>
                <c:pt idx="527">
                  <c:v>1836</c:v>
                </c:pt>
                <c:pt idx="528">
                  <c:v>3970</c:v>
                </c:pt>
                <c:pt idx="529">
                  <c:v>3970</c:v>
                </c:pt>
                <c:pt idx="530">
                  <c:v>1950</c:v>
                </c:pt>
                <c:pt idx="531">
                  <c:v>5300</c:v>
                </c:pt>
                <c:pt idx="532">
                  <c:v>3000</c:v>
                </c:pt>
                <c:pt idx="533">
                  <c:v>2400</c:v>
                </c:pt>
                <c:pt idx="534">
                  <c:v>3000</c:v>
                </c:pt>
                <c:pt idx="535">
                  <c:v>3360</c:v>
                </c:pt>
                <c:pt idx="536">
                  <c:v>3420</c:v>
                </c:pt>
                <c:pt idx="537">
                  <c:v>1700</c:v>
                </c:pt>
                <c:pt idx="538">
                  <c:v>3649</c:v>
                </c:pt>
                <c:pt idx="539">
                  <c:v>2990</c:v>
                </c:pt>
                <c:pt idx="540">
                  <c:v>3000</c:v>
                </c:pt>
                <c:pt idx="541">
                  <c:v>2400</c:v>
                </c:pt>
                <c:pt idx="542">
                  <c:v>3620</c:v>
                </c:pt>
                <c:pt idx="543">
                  <c:v>2910</c:v>
                </c:pt>
                <c:pt idx="544">
                  <c:v>3850</c:v>
                </c:pt>
              </c:numCache>
            </c:numRef>
          </c:xVal>
          <c:yVal>
            <c:numRef>
              <c:f>'Processed Data'!$M$2:$M$546</c:f>
              <c:numCache>
                <c:formatCode>"$"#,##0.00</c:formatCode>
                <c:ptCount val="545"/>
                <c:pt idx="0">
                  <c:v>13300000</c:v>
                </c:pt>
                <c:pt idx="1">
                  <c:v>12250000</c:v>
                </c:pt>
                <c:pt idx="2">
                  <c:v>12250000</c:v>
                </c:pt>
                <c:pt idx="3">
                  <c:v>12215000</c:v>
                </c:pt>
                <c:pt idx="4">
                  <c:v>11410000</c:v>
                </c:pt>
                <c:pt idx="5">
                  <c:v>10850000</c:v>
                </c:pt>
                <c:pt idx="6">
                  <c:v>10150000</c:v>
                </c:pt>
                <c:pt idx="7">
                  <c:v>10150000</c:v>
                </c:pt>
                <c:pt idx="8">
                  <c:v>9870000</c:v>
                </c:pt>
                <c:pt idx="9">
                  <c:v>9800000</c:v>
                </c:pt>
                <c:pt idx="10">
                  <c:v>9800000</c:v>
                </c:pt>
                <c:pt idx="11">
                  <c:v>9681000</c:v>
                </c:pt>
                <c:pt idx="12">
                  <c:v>9310000</c:v>
                </c:pt>
                <c:pt idx="13">
                  <c:v>9240000</c:v>
                </c:pt>
                <c:pt idx="14">
                  <c:v>9240000</c:v>
                </c:pt>
                <c:pt idx="15">
                  <c:v>9100000</c:v>
                </c:pt>
                <c:pt idx="16">
                  <c:v>9100000</c:v>
                </c:pt>
                <c:pt idx="17">
                  <c:v>8960000</c:v>
                </c:pt>
                <c:pt idx="18">
                  <c:v>8890000</c:v>
                </c:pt>
                <c:pt idx="19">
                  <c:v>8855000</c:v>
                </c:pt>
                <c:pt idx="20">
                  <c:v>8750000</c:v>
                </c:pt>
                <c:pt idx="21">
                  <c:v>8680000</c:v>
                </c:pt>
                <c:pt idx="22">
                  <c:v>8645000</c:v>
                </c:pt>
                <c:pt idx="23">
                  <c:v>8645000</c:v>
                </c:pt>
                <c:pt idx="24">
                  <c:v>8575000</c:v>
                </c:pt>
                <c:pt idx="25">
                  <c:v>8540000</c:v>
                </c:pt>
                <c:pt idx="26">
                  <c:v>8463000</c:v>
                </c:pt>
                <c:pt idx="27">
                  <c:v>8400000</c:v>
                </c:pt>
                <c:pt idx="28">
                  <c:v>8400000</c:v>
                </c:pt>
                <c:pt idx="29">
                  <c:v>8400000</c:v>
                </c:pt>
                <c:pt idx="30">
                  <c:v>8400000</c:v>
                </c:pt>
                <c:pt idx="31">
                  <c:v>8400000</c:v>
                </c:pt>
                <c:pt idx="32">
                  <c:v>8295000</c:v>
                </c:pt>
                <c:pt idx="33">
                  <c:v>8190000</c:v>
                </c:pt>
                <c:pt idx="34">
                  <c:v>8120000</c:v>
                </c:pt>
                <c:pt idx="35">
                  <c:v>8080940</c:v>
                </c:pt>
                <c:pt idx="36">
                  <c:v>8043000</c:v>
                </c:pt>
                <c:pt idx="37">
                  <c:v>7980000</c:v>
                </c:pt>
                <c:pt idx="38">
                  <c:v>7962500</c:v>
                </c:pt>
                <c:pt idx="39">
                  <c:v>7910000</c:v>
                </c:pt>
                <c:pt idx="40">
                  <c:v>7875000</c:v>
                </c:pt>
                <c:pt idx="41">
                  <c:v>7840000</c:v>
                </c:pt>
                <c:pt idx="42">
                  <c:v>7700000</c:v>
                </c:pt>
                <c:pt idx="43">
                  <c:v>7700000</c:v>
                </c:pt>
                <c:pt idx="44">
                  <c:v>7560000</c:v>
                </c:pt>
                <c:pt idx="45">
                  <c:v>7560000</c:v>
                </c:pt>
                <c:pt idx="46">
                  <c:v>7525000</c:v>
                </c:pt>
                <c:pt idx="47">
                  <c:v>7490000</c:v>
                </c:pt>
                <c:pt idx="48">
                  <c:v>7455000</c:v>
                </c:pt>
                <c:pt idx="49">
                  <c:v>7420000</c:v>
                </c:pt>
                <c:pt idx="50">
                  <c:v>7420000</c:v>
                </c:pt>
                <c:pt idx="51">
                  <c:v>7420000</c:v>
                </c:pt>
                <c:pt idx="52">
                  <c:v>7350000</c:v>
                </c:pt>
                <c:pt idx="53">
                  <c:v>7350000</c:v>
                </c:pt>
                <c:pt idx="54">
                  <c:v>7350000</c:v>
                </c:pt>
                <c:pt idx="55">
                  <c:v>7350000</c:v>
                </c:pt>
                <c:pt idx="56">
                  <c:v>7343000</c:v>
                </c:pt>
                <c:pt idx="57">
                  <c:v>7245000</c:v>
                </c:pt>
                <c:pt idx="58">
                  <c:v>7210000</c:v>
                </c:pt>
                <c:pt idx="59">
                  <c:v>7210000</c:v>
                </c:pt>
                <c:pt idx="60">
                  <c:v>7140000</c:v>
                </c:pt>
                <c:pt idx="61">
                  <c:v>7070000</c:v>
                </c:pt>
                <c:pt idx="62">
                  <c:v>7070000</c:v>
                </c:pt>
                <c:pt idx="63">
                  <c:v>7035000</c:v>
                </c:pt>
                <c:pt idx="64">
                  <c:v>7000000</c:v>
                </c:pt>
                <c:pt idx="65">
                  <c:v>6930000</c:v>
                </c:pt>
                <c:pt idx="66">
                  <c:v>6930000</c:v>
                </c:pt>
                <c:pt idx="67">
                  <c:v>6895000</c:v>
                </c:pt>
                <c:pt idx="68">
                  <c:v>6860000</c:v>
                </c:pt>
                <c:pt idx="69">
                  <c:v>6790000</c:v>
                </c:pt>
                <c:pt idx="70">
                  <c:v>6790000</c:v>
                </c:pt>
                <c:pt idx="71">
                  <c:v>6755000</c:v>
                </c:pt>
                <c:pt idx="72">
                  <c:v>6720000</c:v>
                </c:pt>
                <c:pt idx="73">
                  <c:v>6685000</c:v>
                </c:pt>
                <c:pt idx="74">
                  <c:v>6650000</c:v>
                </c:pt>
                <c:pt idx="75">
                  <c:v>6650000</c:v>
                </c:pt>
                <c:pt idx="76">
                  <c:v>6650000</c:v>
                </c:pt>
                <c:pt idx="77">
                  <c:v>6650000</c:v>
                </c:pt>
                <c:pt idx="78">
                  <c:v>6650000</c:v>
                </c:pt>
                <c:pt idx="79">
                  <c:v>6650000</c:v>
                </c:pt>
                <c:pt idx="80">
                  <c:v>6629000</c:v>
                </c:pt>
                <c:pt idx="81">
                  <c:v>6615000</c:v>
                </c:pt>
                <c:pt idx="82">
                  <c:v>6615000</c:v>
                </c:pt>
                <c:pt idx="83">
                  <c:v>6580000</c:v>
                </c:pt>
                <c:pt idx="84">
                  <c:v>6510000</c:v>
                </c:pt>
                <c:pt idx="85">
                  <c:v>6510000</c:v>
                </c:pt>
                <c:pt idx="86">
                  <c:v>6510000</c:v>
                </c:pt>
                <c:pt idx="87">
                  <c:v>6475000</c:v>
                </c:pt>
                <c:pt idx="88">
                  <c:v>6475000</c:v>
                </c:pt>
                <c:pt idx="89">
                  <c:v>6440000</c:v>
                </c:pt>
                <c:pt idx="90">
                  <c:v>6440000</c:v>
                </c:pt>
                <c:pt idx="91">
                  <c:v>6419000</c:v>
                </c:pt>
                <c:pt idx="92">
                  <c:v>6405000</c:v>
                </c:pt>
                <c:pt idx="93">
                  <c:v>6300000</c:v>
                </c:pt>
                <c:pt idx="94">
                  <c:v>6300000</c:v>
                </c:pt>
                <c:pt idx="95">
                  <c:v>6300000</c:v>
                </c:pt>
                <c:pt idx="96">
                  <c:v>6300000</c:v>
                </c:pt>
                <c:pt idx="97">
                  <c:v>6300000</c:v>
                </c:pt>
                <c:pt idx="98">
                  <c:v>6293000</c:v>
                </c:pt>
                <c:pt idx="99">
                  <c:v>6265000</c:v>
                </c:pt>
                <c:pt idx="100">
                  <c:v>6230000</c:v>
                </c:pt>
                <c:pt idx="101">
                  <c:v>6230000</c:v>
                </c:pt>
                <c:pt idx="102">
                  <c:v>6195000</c:v>
                </c:pt>
                <c:pt idx="103">
                  <c:v>6195000</c:v>
                </c:pt>
                <c:pt idx="104">
                  <c:v>6195000</c:v>
                </c:pt>
                <c:pt idx="105">
                  <c:v>6160000</c:v>
                </c:pt>
                <c:pt idx="106">
                  <c:v>6160000</c:v>
                </c:pt>
                <c:pt idx="107">
                  <c:v>6125000</c:v>
                </c:pt>
                <c:pt idx="108">
                  <c:v>6107500</c:v>
                </c:pt>
                <c:pt idx="109">
                  <c:v>6090000</c:v>
                </c:pt>
                <c:pt idx="110">
                  <c:v>6090000</c:v>
                </c:pt>
                <c:pt idx="111">
                  <c:v>6090000</c:v>
                </c:pt>
                <c:pt idx="112">
                  <c:v>6083000</c:v>
                </c:pt>
                <c:pt idx="113">
                  <c:v>6083000</c:v>
                </c:pt>
                <c:pt idx="114">
                  <c:v>6020000</c:v>
                </c:pt>
                <c:pt idx="115">
                  <c:v>6020000</c:v>
                </c:pt>
                <c:pt idx="116">
                  <c:v>6020000</c:v>
                </c:pt>
                <c:pt idx="117">
                  <c:v>5950000</c:v>
                </c:pt>
                <c:pt idx="118">
                  <c:v>5950000</c:v>
                </c:pt>
                <c:pt idx="119">
                  <c:v>5950000</c:v>
                </c:pt>
                <c:pt idx="120">
                  <c:v>5950000</c:v>
                </c:pt>
                <c:pt idx="121">
                  <c:v>5950000</c:v>
                </c:pt>
                <c:pt idx="122">
                  <c:v>5950000</c:v>
                </c:pt>
                <c:pt idx="123">
                  <c:v>5950000</c:v>
                </c:pt>
                <c:pt idx="124">
                  <c:v>5950000</c:v>
                </c:pt>
                <c:pt idx="125">
                  <c:v>5943000</c:v>
                </c:pt>
                <c:pt idx="126">
                  <c:v>5880000</c:v>
                </c:pt>
                <c:pt idx="127">
                  <c:v>5880000</c:v>
                </c:pt>
                <c:pt idx="128">
                  <c:v>5873000</c:v>
                </c:pt>
                <c:pt idx="129">
                  <c:v>5873000</c:v>
                </c:pt>
                <c:pt idx="130">
                  <c:v>5866000</c:v>
                </c:pt>
                <c:pt idx="131">
                  <c:v>5810000</c:v>
                </c:pt>
                <c:pt idx="132">
                  <c:v>5810000</c:v>
                </c:pt>
                <c:pt idx="133">
                  <c:v>5810000</c:v>
                </c:pt>
                <c:pt idx="134">
                  <c:v>5803000</c:v>
                </c:pt>
                <c:pt idx="135">
                  <c:v>5775000</c:v>
                </c:pt>
                <c:pt idx="136">
                  <c:v>5740000</c:v>
                </c:pt>
                <c:pt idx="137">
                  <c:v>5740000</c:v>
                </c:pt>
                <c:pt idx="138">
                  <c:v>5740000</c:v>
                </c:pt>
                <c:pt idx="139">
                  <c:v>5740000</c:v>
                </c:pt>
                <c:pt idx="140">
                  <c:v>5740000</c:v>
                </c:pt>
                <c:pt idx="141">
                  <c:v>5652500</c:v>
                </c:pt>
                <c:pt idx="142">
                  <c:v>5600000</c:v>
                </c:pt>
                <c:pt idx="143">
                  <c:v>5600000</c:v>
                </c:pt>
                <c:pt idx="144">
                  <c:v>5600000</c:v>
                </c:pt>
                <c:pt idx="145">
                  <c:v>5600000</c:v>
                </c:pt>
                <c:pt idx="146">
                  <c:v>5600000</c:v>
                </c:pt>
                <c:pt idx="147">
                  <c:v>5600000</c:v>
                </c:pt>
                <c:pt idx="148">
                  <c:v>5600000</c:v>
                </c:pt>
                <c:pt idx="149">
                  <c:v>5600000</c:v>
                </c:pt>
                <c:pt idx="150">
                  <c:v>5600000</c:v>
                </c:pt>
                <c:pt idx="151">
                  <c:v>5565000</c:v>
                </c:pt>
                <c:pt idx="152">
                  <c:v>5565000</c:v>
                </c:pt>
                <c:pt idx="153">
                  <c:v>5530000</c:v>
                </c:pt>
                <c:pt idx="154">
                  <c:v>5530000</c:v>
                </c:pt>
                <c:pt idx="155">
                  <c:v>5530000</c:v>
                </c:pt>
                <c:pt idx="156">
                  <c:v>5523000</c:v>
                </c:pt>
                <c:pt idx="157">
                  <c:v>5495000</c:v>
                </c:pt>
                <c:pt idx="158">
                  <c:v>5495000</c:v>
                </c:pt>
                <c:pt idx="159">
                  <c:v>5460000</c:v>
                </c:pt>
                <c:pt idx="160">
                  <c:v>5460000</c:v>
                </c:pt>
                <c:pt idx="161">
                  <c:v>5460000</c:v>
                </c:pt>
                <c:pt idx="162">
                  <c:v>5460000</c:v>
                </c:pt>
                <c:pt idx="163">
                  <c:v>5425000</c:v>
                </c:pt>
                <c:pt idx="164">
                  <c:v>5390000</c:v>
                </c:pt>
                <c:pt idx="165">
                  <c:v>5383000</c:v>
                </c:pt>
                <c:pt idx="166">
                  <c:v>5320000</c:v>
                </c:pt>
                <c:pt idx="167">
                  <c:v>5285000</c:v>
                </c:pt>
                <c:pt idx="168">
                  <c:v>5250000</c:v>
                </c:pt>
                <c:pt idx="169">
                  <c:v>5250000</c:v>
                </c:pt>
                <c:pt idx="170">
                  <c:v>5250000</c:v>
                </c:pt>
                <c:pt idx="171">
                  <c:v>5250000</c:v>
                </c:pt>
                <c:pt idx="172">
                  <c:v>5250000</c:v>
                </c:pt>
                <c:pt idx="173">
                  <c:v>5250000</c:v>
                </c:pt>
                <c:pt idx="174">
                  <c:v>5250000</c:v>
                </c:pt>
                <c:pt idx="175">
                  <c:v>5250000</c:v>
                </c:pt>
                <c:pt idx="176">
                  <c:v>5250000</c:v>
                </c:pt>
                <c:pt idx="177">
                  <c:v>5243000</c:v>
                </c:pt>
                <c:pt idx="178">
                  <c:v>5229000</c:v>
                </c:pt>
                <c:pt idx="179">
                  <c:v>5215000</c:v>
                </c:pt>
                <c:pt idx="180">
                  <c:v>5215000</c:v>
                </c:pt>
                <c:pt idx="181">
                  <c:v>5215000</c:v>
                </c:pt>
                <c:pt idx="182">
                  <c:v>5145000</c:v>
                </c:pt>
                <c:pt idx="183">
                  <c:v>5145000</c:v>
                </c:pt>
                <c:pt idx="184">
                  <c:v>5110000</c:v>
                </c:pt>
                <c:pt idx="185">
                  <c:v>5110000</c:v>
                </c:pt>
                <c:pt idx="186">
                  <c:v>5110000</c:v>
                </c:pt>
                <c:pt idx="187">
                  <c:v>5110000</c:v>
                </c:pt>
                <c:pt idx="188">
                  <c:v>5075000</c:v>
                </c:pt>
                <c:pt idx="189">
                  <c:v>5040000</c:v>
                </c:pt>
                <c:pt idx="190">
                  <c:v>5040000</c:v>
                </c:pt>
                <c:pt idx="191">
                  <c:v>5040000</c:v>
                </c:pt>
                <c:pt idx="192">
                  <c:v>5040000</c:v>
                </c:pt>
                <c:pt idx="193">
                  <c:v>5033000</c:v>
                </c:pt>
                <c:pt idx="194">
                  <c:v>5005000</c:v>
                </c:pt>
                <c:pt idx="195">
                  <c:v>4970000</c:v>
                </c:pt>
                <c:pt idx="196">
                  <c:v>4970000</c:v>
                </c:pt>
                <c:pt idx="197">
                  <c:v>4956000</c:v>
                </c:pt>
                <c:pt idx="198">
                  <c:v>4935000</c:v>
                </c:pt>
                <c:pt idx="199">
                  <c:v>4907000</c:v>
                </c:pt>
                <c:pt idx="200">
                  <c:v>4900000</c:v>
                </c:pt>
                <c:pt idx="201">
                  <c:v>4900000</c:v>
                </c:pt>
                <c:pt idx="202">
                  <c:v>4900000</c:v>
                </c:pt>
                <c:pt idx="203">
                  <c:v>4900000</c:v>
                </c:pt>
                <c:pt idx="204">
                  <c:v>4900000</c:v>
                </c:pt>
                <c:pt idx="205">
                  <c:v>4900000</c:v>
                </c:pt>
                <c:pt idx="206">
                  <c:v>4900000</c:v>
                </c:pt>
                <c:pt idx="207">
                  <c:v>4900000</c:v>
                </c:pt>
                <c:pt idx="208">
                  <c:v>4900000</c:v>
                </c:pt>
                <c:pt idx="209">
                  <c:v>4900000</c:v>
                </c:pt>
                <c:pt idx="210">
                  <c:v>4900000</c:v>
                </c:pt>
                <c:pt idx="211">
                  <c:v>4900000</c:v>
                </c:pt>
                <c:pt idx="212">
                  <c:v>4893000</c:v>
                </c:pt>
                <c:pt idx="213">
                  <c:v>4893000</c:v>
                </c:pt>
                <c:pt idx="214">
                  <c:v>4865000</c:v>
                </c:pt>
                <c:pt idx="215">
                  <c:v>4830000</c:v>
                </c:pt>
                <c:pt idx="216">
                  <c:v>4830000</c:v>
                </c:pt>
                <c:pt idx="217">
                  <c:v>4830000</c:v>
                </c:pt>
                <c:pt idx="218">
                  <c:v>4830000</c:v>
                </c:pt>
                <c:pt idx="219">
                  <c:v>4795000</c:v>
                </c:pt>
                <c:pt idx="220">
                  <c:v>4795000</c:v>
                </c:pt>
                <c:pt idx="221">
                  <c:v>4767000</c:v>
                </c:pt>
                <c:pt idx="222">
                  <c:v>4760000</c:v>
                </c:pt>
                <c:pt idx="223">
                  <c:v>4760000</c:v>
                </c:pt>
                <c:pt idx="224">
                  <c:v>4760000</c:v>
                </c:pt>
                <c:pt idx="225">
                  <c:v>4753000</c:v>
                </c:pt>
                <c:pt idx="226">
                  <c:v>4690000</c:v>
                </c:pt>
                <c:pt idx="227">
                  <c:v>4690000</c:v>
                </c:pt>
                <c:pt idx="228">
                  <c:v>4690000</c:v>
                </c:pt>
                <c:pt idx="229">
                  <c:v>4690000</c:v>
                </c:pt>
                <c:pt idx="230">
                  <c:v>4690000</c:v>
                </c:pt>
                <c:pt idx="231">
                  <c:v>4690000</c:v>
                </c:pt>
                <c:pt idx="232">
                  <c:v>4655000</c:v>
                </c:pt>
                <c:pt idx="233">
                  <c:v>4620000</c:v>
                </c:pt>
                <c:pt idx="234">
                  <c:v>4620000</c:v>
                </c:pt>
                <c:pt idx="235">
                  <c:v>4620000</c:v>
                </c:pt>
                <c:pt idx="236">
                  <c:v>4620000</c:v>
                </c:pt>
                <c:pt idx="237">
                  <c:v>4620000</c:v>
                </c:pt>
                <c:pt idx="238">
                  <c:v>4613000</c:v>
                </c:pt>
                <c:pt idx="239">
                  <c:v>4585000</c:v>
                </c:pt>
                <c:pt idx="240">
                  <c:v>4585000</c:v>
                </c:pt>
                <c:pt idx="241">
                  <c:v>4550000</c:v>
                </c:pt>
                <c:pt idx="242">
                  <c:v>4550000</c:v>
                </c:pt>
                <c:pt idx="243">
                  <c:v>4550000</c:v>
                </c:pt>
                <c:pt idx="244">
                  <c:v>4550000</c:v>
                </c:pt>
                <c:pt idx="245">
                  <c:v>4550000</c:v>
                </c:pt>
                <c:pt idx="246">
                  <c:v>4550000</c:v>
                </c:pt>
                <c:pt idx="247">
                  <c:v>4550000</c:v>
                </c:pt>
                <c:pt idx="248">
                  <c:v>4543000</c:v>
                </c:pt>
                <c:pt idx="249">
                  <c:v>4543000</c:v>
                </c:pt>
                <c:pt idx="250">
                  <c:v>4515000</c:v>
                </c:pt>
                <c:pt idx="251">
                  <c:v>4515000</c:v>
                </c:pt>
                <c:pt idx="252">
                  <c:v>4515000</c:v>
                </c:pt>
                <c:pt idx="253">
                  <c:v>4515000</c:v>
                </c:pt>
                <c:pt idx="254">
                  <c:v>4480000</c:v>
                </c:pt>
                <c:pt idx="255">
                  <c:v>4480000</c:v>
                </c:pt>
                <c:pt idx="256">
                  <c:v>4480000</c:v>
                </c:pt>
                <c:pt idx="257">
                  <c:v>4480000</c:v>
                </c:pt>
                <c:pt idx="258">
                  <c:v>4480000</c:v>
                </c:pt>
                <c:pt idx="259">
                  <c:v>4473000</c:v>
                </c:pt>
                <c:pt idx="260">
                  <c:v>4473000</c:v>
                </c:pt>
                <c:pt idx="261">
                  <c:v>4473000</c:v>
                </c:pt>
                <c:pt idx="262">
                  <c:v>4445000</c:v>
                </c:pt>
                <c:pt idx="263">
                  <c:v>4410000</c:v>
                </c:pt>
                <c:pt idx="264">
                  <c:v>4410000</c:v>
                </c:pt>
                <c:pt idx="265">
                  <c:v>4403000</c:v>
                </c:pt>
                <c:pt idx="266">
                  <c:v>4403000</c:v>
                </c:pt>
                <c:pt idx="267">
                  <c:v>4403000</c:v>
                </c:pt>
                <c:pt idx="268">
                  <c:v>4382000</c:v>
                </c:pt>
                <c:pt idx="269">
                  <c:v>4375000</c:v>
                </c:pt>
                <c:pt idx="270">
                  <c:v>4340000</c:v>
                </c:pt>
                <c:pt idx="271">
                  <c:v>4340000</c:v>
                </c:pt>
                <c:pt idx="272">
                  <c:v>4340000</c:v>
                </c:pt>
                <c:pt idx="273">
                  <c:v>4340000</c:v>
                </c:pt>
                <c:pt idx="274">
                  <c:v>4340000</c:v>
                </c:pt>
                <c:pt idx="275">
                  <c:v>4319000</c:v>
                </c:pt>
                <c:pt idx="276">
                  <c:v>4305000</c:v>
                </c:pt>
                <c:pt idx="277">
                  <c:v>4305000</c:v>
                </c:pt>
                <c:pt idx="278">
                  <c:v>4277000</c:v>
                </c:pt>
                <c:pt idx="279">
                  <c:v>4270000</c:v>
                </c:pt>
                <c:pt idx="280">
                  <c:v>4270000</c:v>
                </c:pt>
                <c:pt idx="281">
                  <c:v>4270000</c:v>
                </c:pt>
                <c:pt idx="282">
                  <c:v>4270000</c:v>
                </c:pt>
                <c:pt idx="283">
                  <c:v>4270000</c:v>
                </c:pt>
                <c:pt idx="284">
                  <c:v>4270000</c:v>
                </c:pt>
                <c:pt idx="285">
                  <c:v>4235000</c:v>
                </c:pt>
                <c:pt idx="286">
                  <c:v>4235000</c:v>
                </c:pt>
                <c:pt idx="287">
                  <c:v>4200000</c:v>
                </c:pt>
                <c:pt idx="288">
                  <c:v>4200000</c:v>
                </c:pt>
                <c:pt idx="289">
                  <c:v>4200000</c:v>
                </c:pt>
                <c:pt idx="290">
                  <c:v>4200000</c:v>
                </c:pt>
                <c:pt idx="291">
                  <c:v>4200000</c:v>
                </c:pt>
                <c:pt idx="292">
                  <c:v>4200000</c:v>
                </c:pt>
                <c:pt idx="293">
                  <c:v>4200000</c:v>
                </c:pt>
                <c:pt idx="294">
                  <c:v>4200000</c:v>
                </c:pt>
                <c:pt idx="295">
                  <c:v>4200000</c:v>
                </c:pt>
                <c:pt idx="296">
                  <c:v>4200000</c:v>
                </c:pt>
                <c:pt idx="297">
                  <c:v>4200000</c:v>
                </c:pt>
                <c:pt idx="298">
                  <c:v>4200000</c:v>
                </c:pt>
                <c:pt idx="299">
                  <c:v>4200000</c:v>
                </c:pt>
                <c:pt idx="300">
                  <c:v>4200000</c:v>
                </c:pt>
                <c:pt idx="301">
                  <c:v>4200000</c:v>
                </c:pt>
                <c:pt idx="302">
                  <c:v>4200000</c:v>
                </c:pt>
                <c:pt idx="303">
                  <c:v>4200000</c:v>
                </c:pt>
                <c:pt idx="304">
                  <c:v>4193000</c:v>
                </c:pt>
                <c:pt idx="305">
                  <c:v>4193000</c:v>
                </c:pt>
                <c:pt idx="306">
                  <c:v>4165000</c:v>
                </c:pt>
                <c:pt idx="307">
                  <c:v>4165000</c:v>
                </c:pt>
                <c:pt idx="308">
                  <c:v>4165000</c:v>
                </c:pt>
                <c:pt idx="309">
                  <c:v>4130000</c:v>
                </c:pt>
                <c:pt idx="310">
                  <c:v>4130000</c:v>
                </c:pt>
                <c:pt idx="311">
                  <c:v>4123000</c:v>
                </c:pt>
                <c:pt idx="312">
                  <c:v>4098500</c:v>
                </c:pt>
                <c:pt idx="313">
                  <c:v>4095000</c:v>
                </c:pt>
                <c:pt idx="314">
                  <c:v>4095000</c:v>
                </c:pt>
                <c:pt idx="315">
                  <c:v>4095000</c:v>
                </c:pt>
                <c:pt idx="316">
                  <c:v>4060000</c:v>
                </c:pt>
                <c:pt idx="317">
                  <c:v>4060000</c:v>
                </c:pt>
                <c:pt idx="318">
                  <c:v>4060000</c:v>
                </c:pt>
                <c:pt idx="319">
                  <c:v>4060000</c:v>
                </c:pt>
                <c:pt idx="320">
                  <c:v>4060000</c:v>
                </c:pt>
                <c:pt idx="321">
                  <c:v>4025000</c:v>
                </c:pt>
                <c:pt idx="322">
                  <c:v>4025000</c:v>
                </c:pt>
                <c:pt idx="323">
                  <c:v>4025000</c:v>
                </c:pt>
                <c:pt idx="324">
                  <c:v>4007500</c:v>
                </c:pt>
                <c:pt idx="325">
                  <c:v>4007500</c:v>
                </c:pt>
                <c:pt idx="326">
                  <c:v>3990000</c:v>
                </c:pt>
                <c:pt idx="327">
                  <c:v>3990000</c:v>
                </c:pt>
                <c:pt idx="328">
                  <c:v>3990000</c:v>
                </c:pt>
                <c:pt idx="329">
                  <c:v>3990000</c:v>
                </c:pt>
                <c:pt idx="330">
                  <c:v>3990000</c:v>
                </c:pt>
                <c:pt idx="331">
                  <c:v>3920000</c:v>
                </c:pt>
                <c:pt idx="332">
                  <c:v>3920000</c:v>
                </c:pt>
                <c:pt idx="333">
                  <c:v>3920000</c:v>
                </c:pt>
                <c:pt idx="334">
                  <c:v>3920000</c:v>
                </c:pt>
                <c:pt idx="335">
                  <c:v>3920000</c:v>
                </c:pt>
                <c:pt idx="336">
                  <c:v>3920000</c:v>
                </c:pt>
                <c:pt idx="337">
                  <c:v>3920000</c:v>
                </c:pt>
                <c:pt idx="338">
                  <c:v>3885000</c:v>
                </c:pt>
                <c:pt idx="339">
                  <c:v>3885000</c:v>
                </c:pt>
                <c:pt idx="340">
                  <c:v>3850000</c:v>
                </c:pt>
                <c:pt idx="341">
                  <c:v>3850000</c:v>
                </c:pt>
                <c:pt idx="342">
                  <c:v>3850000</c:v>
                </c:pt>
                <c:pt idx="343">
                  <c:v>3850000</c:v>
                </c:pt>
                <c:pt idx="344">
                  <c:v>3850000</c:v>
                </c:pt>
                <c:pt idx="345">
                  <c:v>3850000</c:v>
                </c:pt>
                <c:pt idx="346">
                  <c:v>3850000</c:v>
                </c:pt>
                <c:pt idx="347">
                  <c:v>3836000</c:v>
                </c:pt>
                <c:pt idx="348">
                  <c:v>3815000</c:v>
                </c:pt>
                <c:pt idx="349">
                  <c:v>3780000</c:v>
                </c:pt>
                <c:pt idx="350">
                  <c:v>3780000</c:v>
                </c:pt>
                <c:pt idx="351">
                  <c:v>3780000</c:v>
                </c:pt>
                <c:pt idx="352">
                  <c:v>3780000</c:v>
                </c:pt>
                <c:pt idx="353">
                  <c:v>3780000</c:v>
                </c:pt>
                <c:pt idx="354">
                  <c:v>3780000</c:v>
                </c:pt>
                <c:pt idx="355">
                  <c:v>3773000</c:v>
                </c:pt>
                <c:pt idx="356">
                  <c:v>3773000</c:v>
                </c:pt>
                <c:pt idx="357">
                  <c:v>3773000</c:v>
                </c:pt>
                <c:pt idx="358">
                  <c:v>3745000</c:v>
                </c:pt>
                <c:pt idx="359">
                  <c:v>3710000</c:v>
                </c:pt>
                <c:pt idx="360">
                  <c:v>3710000</c:v>
                </c:pt>
                <c:pt idx="361">
                  <c:v>3710000</c:v>
                </c:pt>
                <c:pt idx="362">
                  <c:v>3710000</c:v>
                </c:pt>
                <c:pt idx="363">
                  <c:v>3710000</c:v>
                </c:pt>
                <c:pt idx="364">
                  <c:v>3703000</c:v>
                </c:pt>
                <c:pt idx="365">
                  <c:v>3703000</c:v>
                </c:pt>
                <c:pt idx="366">
                  <c:v>3675000</c:v>
                </c:pt>
                <c:pt idx="367">
                  <c:v>3675000</c:v>
                </c:pt>
                <c:pt idx="368">
                  <c:v>3675000</c:v>
                </c:pt>
                <c:pt idx="369">
                  <c:v>3675000</c:v>
                </c:pt>
                <c:pt idx="370">
                  <c:v>3640000</c:v>
                </c:pt>
                <c:pt idx="371">
                  <c:v>3640000</c:v>
                </c:pt>
                <c:pt idx="372">
                  <c:v>3640000</c:v>
                </c:pt>
                <c:pt idx="373">
                  <c:v>3640000</c:v>
                </c:pt>
                <c:pt idx="374">
                  <c:v>3640000</c:v>
                </c:pt>
                <c:pt idx="375">
                  <c:v>3640000</c:v>
                </c:pt>
                <c:pt idx="376">
                  <c:v>3640000</c:v>
                </c:pt>
                <c:pt idx="377">
                  <c:v>3640000</c:v>
                </c:pt>
                <c:pt idx="378">
                  <c:v>3640000</c:v>
                </c:pt>
                <c:pt idx="379">
                  <c:v>3633000</c:v>
                </c:pt>
                <c:pt idx="380">
                  <c:v>3605000</c:v>
                </c:pt>
                <c:pt idx="381">
                  <c:v>3605000</c:v>
                </c:pt>
                <c:pt idx="382">
                  <c:v>3570000</c:v>
                </c:pt>
                <c:pt idx="383">
                  <c:v>3570000</c:v>
                </c:pt>
                <c:pt idx="384">
                  <c:v>3570000</c:v>
                </c:pt>
                <c:pt idx="385">
                  <c:v>3570000</c:v>
                </c:pt>
                <c:pt idx="386">
                  <c:v>3535000</c:v>
                </c:pt>
                <c:pt idx="387">
                  <c:v>3500000</c:v>
                </c:pt>
                <c:pt idx="388">
                  <c:v>3500000</c:v>
                </c:pt>
                <c:pt idx="389">
                  <c:v>3500000</c:v>
                </c:pt>
                <c:pt idx="390">
                  <c:v>3500000</c:v>
                </c:pt>
                <c:pt idx="391">
                  <c:v>3500000</c:v>
                </c:pt>
                <c:pt idx="392">
                  <c:v>3500000</c:v>
                </c:pt>
                <c:pt idx="393">
                  <c:v>3500000</c:v>
                </c:pt>
                <c:pt idx="394">
                  <c:v>3500000</c:v>
                </c:pt>
                <c:pt idx="395">
                  <c:v>3500000</c:v>
                </c:pt>
                <c:pt idx="396">
                  <c:v>3500000</c:v>
                </c:pt>
                <c:pt idx="397">
                  <c:v>3500000</c:v>
                </c:pt>
                <c:pt idx="398">
                  <c:v>3500000</c:v>
                </c:pt>
                <c:pt idx="399">
                  <c:v>3500000</c:v>
                </c:pt>
                <c:pt idx="400">
                  <c:v>3500000</c:v>
                </c:pt>
                <c:pt idx="401">
                  <c:v>3500000</c:v>
                </c:pt>
                <c:pt idx="402">
                  <c:v>3500000</c:v>
                </c:pt>
                <c:pt idx="403">
                  <c:v>3500000</c:v>
                </c:pt>
                <c:pt idx="404">
                  <c:v>3493000</c:v>
                </c:pt>
                <c:pt idx="405">
                  <c:v>3465000</c:v>
                </c:pt>
                <c:pt idx="406">
                  <c:v>3465000</c:v>
                </c:pt>
                <c:pt idx="407">
                  <c:v>3465000</c:v>
                </c:pt>
                <c:pt idx="408">
                  <c:v>3430000</c:v>
                </c:pt>
                <c:pt idx="409">
                  <c:v>3430000</c:v>
                </c:pt>
                <c:pt idx="410">
                  <c:v>3430000</c:v>
                </c:pt>
                <c:pt idx="411">
                  <c:v>3430000</c:v>
                </c:pt>
                <c:pt idx="412">
                  <c:v>3430000</c:v>
                </c:pt>
                <c:pt idx="413">
                  <c:v>3430000</c:v>
                </c:pt>
                <c:pt idx="414">
                  <c:v>3423000</c:v>
                </c:pt>
                <c:pt idx="415">
                  <c:v>3395000</c:v>
                </c:pt>
                <c:pt idx="416">
                  <c:v>3395000</c:v>
                </c:pt>
                <c:pt idx="417">
                  <c:v>3395000</c:v>
                </c:pt>
                <c:pt idx="418">
                  <c:v>3360000</c:v>
                </c:pt>
                <c:pt idx="419">
                  <c:v>3360000</c:v>
                </c:pt>
                <c:pt idx="420">
                  <c:v>3360000</c:v>
                </c:pt>
                <c:pt idx="421">
                  <c:v>3360000</c:v>
                </c:pt>
                <c:pt idx="422">
                  <c:v>3360000</c:v>
                </c:pt>
                <c:pt idx="423">
                  <c:v>3360000</c:v>
                </c:pt>
                <c:pt idx="424">
                  <c:v>3360000</c:v>
                </c:pt>
                <c:pt idx="425">
                  <c:v>3360000</c:v>
                </c:pt>
                <c:pt idx="426">
                  <c:v>3353000</c:v>
                </c:pt>
                <c:pt idx="427">
                  <c:v>3332000</c:v>
                </c:pt>
                <c:pt idx="428">
                  <c:v>3325000</c:v>
                </c:pt>
                <c:pt idx="429">
                  <c:v>3325000</c:v>
                </c:pt>
                <c:pt idx="430">
                  <c:v>3290000</c:v>
                </c:pt>
                <c:pt idx="431">
                  <c:v>3290000</c:v>
                </c:pt>
                <c:pt idx="432">
                  <c:v>3290000</c:v>
                </c:pt>
                <c:pt idx="433">
                  <c:v>3290000</c:v>
                </c:pt>
                <c:pt idx="434">
                  <c:v>3290000</c:v>
                </c:pt>
                <c:pt idx="435">
                  <c:v>3290000</c:v>
                </c:pt>
                <c:pt idx="436">
                  <c:v>3290000</c:v>
                </c:pt>
                <c:pt idx="437">
                  <c:v>3290000</c:v>
                </c:pt>
                <c:pt idx="438">
                  <c:v>3255000</c:v>
                </c:pt>
                <c:pt idx="439">
                  <c:v>3255000</c:v>
                </c:pt>
                <c:pt idx="440">
                  <c:v>3234000</c:v>
                </c:pt>
                <c:pt idx="441">
                  <c:v>3220000</c:v>
                </c:pt>
                <c:pt idx="442">
                  <c:v>3220000</c:v>
                </c:pt>
                <c:pt idx="443">
                  <c:v>3220000</c:v>
                </c:pt>
                <c:pt idx="444">
                  <c:v>3220000</c:v>
                </c:pt>
                <c:pt idx="445">
                  <c:v>3150000</c:v>
                </c:pt>
                <c:pt idx="446">
                  <c:v>3150000</c:v>
                </c:pt>
                <c:pt idx="447">
                  <c:v>3150000</c:v>
                </c:pt>
                <c:pt idx="448">
                  <c:v>3150000</c:v>
                </c:pt>
                <c:pt idx="449">
                  <c:v>3150000</c:v>
                </c:pt>
                <c:pt idx="450">
                  <c:v>3150000</c:v>
                </c:pt>
                <c:pt idx="451">
                  <c:v>3150000</c:v>
                </c:pt>
                <c:pt idx="452">
                  <c:v>3150000</c:v>
                </c:pt>
                <c:pt idx="453">
                  <c:v>3150000</c:v>
                </c:pt>
                <c:pt idx="454">
                  <c:v>3143000</c:v>
                </c:pt>
                <c:pt idx="455">
                  <c:v>3129000</c:v>
                </c:pt>
                <c:pt idx="456">
                  <c:v>3118850</c:v>
                </c:pt>
                <c:pt idx="457">
                  <c:v>3115000</c:v>
                </c:pt>
                <c:pt idx="458">
                  <c:v>3115000</c:v>
                </c:pt>
                <c:pt idx="459">
                  <c:v>3115000</c:v>
                </c:pt>
                <c:pt idx="460">
                  <c:v>3087000</c:v>
                </c:pt>
                <c:pt idx="461">
                  <c:v>3080000</c:v>
                </c:pt>
                <c:pt idx="462">
                  <c:v>3080000</c:v>
                </c:pt>
                <c:pt idx="463">
                  <c:v>3080000</c:v>
                </c:pt>
                <c:pt idx="464">
                  <c:v>3080000</c:v>
                </c:pt>
                <c:pt idx="465">
                  <c:v>3045000</c:v>
                </c:pt>
                <c:pt idx="466">
                  <c:v>3010000</c:v>
                </c:pt>
                <c:pt idx="467">
                  <c:v>3010000</c:v>
                </c:pt>
                <c:pt idx="468">
                  <c:v>3010000</c:v>
                </c:pt>
                <c:pt idx="469">
                  <c:v>3010000</c:v>
                </c:pt>
                <c:pt idx="470">
                  <c:v>3010000</c:v>
                </c:pt>
                <c:pt idx="471">
                  <c:v>3010000</c:v>
                </c:pt>
                <c:pt idx="472">
                  <c:v>3010000</c:v>
                </c:pt>
                <c:pt idx="473">
                  <c:v>3003000</c:v>
                </c:pt>
                <c:pt idx="474">
                  <c:v>2975000</c:v>
                </c:pt>
                <c:pt idx="475">
                  <c:v>2961000</c:v>
                </c:pt>
                <c:pt idx="476">
                  <c:v>2940000</c:v>
                </c:pt>
                <c:pt idx="477">
                  <c:v>2940000</c:v>
                </c:pt>
                <c:pt idx="478">
                  <c:v>2940000</c:v>
                </c:pt>
                <c:pt idx="479">
                  <c:v>2940000</c:v>
                </c:pt>
                <c:pt idx="480">
                  <c:v>2940000</c:v>
                </c:pt>
                <c:pt idx="481">
                  <c:v>2940000</c:v>
                </c:pt>
                <c:pt idx="482">
                  <c:v>2940000</c:v>
                </c:pt>
                <c:pt idx="483">
                  <c:v>2940000</c:v>
                </c:pt>
                <c:pt idx="484">
                  <c:v>2870000</c:v>
                </c:pt>
                <c:pt idx="485">
                  <c:v>2870000</c:v>
                </c:pt>
                <c:pt idx="486">
                  <c:v>2870000</c:v>
                </c:pt>
                <c:pt idx="487">
                  <c:v>2870000</c:v>
                </c:pt>
                <c:pt idx="488">
                  <c:v>2852500</c:v>
                </c:pt>
                <c:pt idx="489">
                  <c:v>2835000</c:v>
                </c:pt>
                <c:pt idx="490">
                  <c:v>2835000</c:v>
                </c:pt>
                <c:pt idx="491">
                  <c:v>2835000</c:v>
                </c:pt>
                <c:pt idx="492">
                  <c:v>2800000</c:v>
                </c:pt>
                <c:pt idx="493">
                  <c:v>2800000</c:v>
                </c:pt>
                <c:pt idx="494">
                  <c:v>2730000</c:v>
                </c:pt>
                <c:pt idx="495">
                  <c:v>2730000</c:v>
                </c:pt>
                <c:pt idx="496">
                  <c:v>2695000</c:v>
                </c:pt>
                <c:pt idx="497">
                  <c:v>2660000</c:v>
                </c:pt>
                <c:pt idx="498">
                  <c:v>2660000</c:v>
                </c:pt>
                <c:pt idx="499">
                  <c:v>2660000</c:v>
                </c:pt>
                <c:pt idx="500">
                  <c:v>2660000</c:v>
                </c:pt>
                <c:pt idx="501">
                  <c:v>2660000</c:v>
                </c:pt>
                <c:pt idx="502">
                  <c:v>2660000</c:v>
                </c:pt>
                <c:pt idx="503">
                  <c:v>2660000</c:v>
                </c:pt>
                <c:pt idx="504">
                  <c:v>2653000</c:v>
                </c:pt>
                <c:pt idx="505">
                  <c:v>2653000</c:v>
                </c:pt>
                <c:pt idx="506">
                  <c:v>2604000</c:v>
                </c:pt>
                <c:pt idx="507">
                  <c:v>2590000</c:v>
                </c:pt>
                <c:pt idx="508">
                  <c:v>2590000</c:v>
                </c:pt>
                <c:pt idx="509">
                  <c:v>2590000</c:v>
                </c:pt>
                <c:pt idx="510">
                  <c:v>2520000</c:v>
                </c:pt>
                <c:pt idx="511">
                  <c:v>2520000</c:v>
                </c:pt>
                <c:pt idx="512">
                  <c:v>2520000</c:v>
                </c:pt>
                <c:pt idx="513">
                  <c:v>2485000</c:v>
                </c:pt>
                <c:pt idx="514">
                  <c:v>2485000</c:v>
                </c:pt>
                <c:pt idx="515">
                  <c:v>2450000</c:v>
                </c:pt>
                <c:pt idx="516">
                  <c:v>2450000</c:v>
                </c:pt>
                <c:pt idx="517">
                  <c:v>2450000</c:v>
                </c:pt>
                <c:pt idx="518">
                  <c:v>2450000</c:v>
                </c:pt>
                <c:pt idx="519">
                  <c:v>2450000</c:v>
                </c:pt>
                <c:pt idx="520">
                  <c:v>2450000</c:v>
                </c:pt>
                <c:pt idx="521">
                  <c:v>2408000</c:v>
                </c:pt>
                <c:pt idx="522">
                  <c:v>2380000</c:v>
                </c:pt>
                <c:pt idx="523">
                  <c:v>2380000</c:v>
                </c:pt>
                <c:pt idx="524">
                  <c:v>2380000</c:v>
                </c:pt>
                <c:pt idx="525">
                  <c:v>2345000</c:v>
                </c:pt>
                <c:pt idx="526">
                  <c:v>2310000</c:v>
                </c:pt>
                <c:pt idx="527">
                  <c:v>2275000</c:v>
                </c:pt>
                <c:pt idx="528">
                  <c:v>2275000</c:v>
                </c:pt>
                <c:pt idx="529">
                  <c:v>2275000</c:v>
                </c:pt>
                <c:pt idx="530">
                  <c:v>2240000</c:v>
                </c:pt>
                <c:pt idx="531">
                  <c:v>2233000</c:v>
                </c:pt>
                <c:pt idx="532">
                  <c:v>2135000</c:v>
                </c:pt>
                <c:pt idx="533">
                  <c:v>2100000</c:v>
                </c:pt>
                <c:pt idx="534">
                  <c:v>2100000</c:v>
                </c:pt>
                <c:pt idx="535">
                  <c:v>2100000</c:v>
                </c:pt>
                <c:pt idx="536">
                  <c:v>1960000</c:v>
                </c:pt>
                <c:pt idx="537">
                  <c:v>1890000</c:v>
                </c:pt>
                <c:pt idx="538">
                  <c:v>1890000</c:v>
                </c:pt>
                <c:pt idx="539">
                  <c:v>1855000</c:v>
                </c:pt>
                <c:pt idx="540">
                  <c:v>1820000</c:v>
                </c:pt>
                <c:pt idx="541">
                  <c:v>1767150</c:v>
                </c:pt>
                <c:pt idx="542">
                  <c:v>1750000</c:v>
                </c:pt>
                <c:pt idx="543">
                  <c:v>1750000</c:v>
                </c:pt>
                <c:pt idx="544">
                  <c:v>1750000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C7-4B73-808E-F914901EF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363024"/>
        <c:axId val="160379824"/>
      </c:scatterChart>
      <c:valAx>
        <c:axId val="16036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Area (Sq. 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79824"/>
        <c:crosses val="autoZero"/>
        <c:crossBetween val="midCat"/>
      </c:valAx>
      <c:valAx>
        <c:axId val="16037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 (Million Dollars)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,,&quot;M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63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Fig 1: Distribution of House Prices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Fig 1: Distribution of House Prices</a:t>
          </a:r>
        </a:p>
      </cx:txPr>
    </cx:title>
    <cx:plotArea>
      <cx:plotAreaRegion>
        <cx:series layoutId="clusteredColumn" uniqueId="{2AC46918-5C2E-4B78-80D7-0AF2AF8EC7C5}">
          <cx:tx>
            <cx:txData>
              <cx:f>_xlchart.v1.0</cx:f>
              <cx:v>price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Price (in Million Dollars)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Price (in Million Dollars)</a:t>
              </a:r>
            </a:p>
          </cx:txPr>
        </cx:title>
        <cx:tickLabels/>
        <cx:numFmt formatCode="$#,##0.0,,&quot;M&quot;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Fig 2: Distribution of House Area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Fig 2: Distribution of House Area</a:t>
          </a:r>
        </a:p>
      </cx:txPr>
    </cx:title>
    <cx:plotArea>
      <cx:plotAreaRegion>
        <cx:series layoutId="clusteredColumn" uniqueId="{3F5067EB-AB24-4B40-8BDC-66B194417986}">
          <cx:tx>
            <cx:txData>
              <cx:f>_xlchart.v1.2</cx:f>
              <cx:v>area</cx:v>
            </cx:txData>
          </cx:tx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Area (sq. ft)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Area (sq. ft)</a:t>
              </a:r>
            </a:p>
          </cx:txPr>
        </cx:title>
        <cx:tickLabels/>
        <cx:numFmt formatCode="General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_xlchart.v1.6</cx:f>
      </cx:numDim>
    </cx:data>
  </cx:chartData>
  <cx:chart>
    <cx:title pos="t" align="ctr" overlay="0">
      <cx:tx>
        <cx:txData>
          <cx:v>Fig 8: Furnishing Status vs. House Price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Fig 8: Furnishing Status vs. House Price</a:t>
          </a:r>
        </a:p>
      </cx:txPr>
    </cx:title>
    <cx:plotArea>
      <cx:plotAreaRegion>
        <cx:series layoutId="boxWhisker" uniqueId="{2AEBB39C-5B61-4AE2-B7AF-17ECDFDC34C9}">
          <cx:tx>
            <cx:txData>
              <cx:f>_xlchart.v1.5</cx:f>
              <cx:v>price</cx:v>
            </cx:txData>
          </cx:tx>
          <cx:spPr>
            <a:effectLst>
              <a:glow rad="12700">
                <a:schemeClr val="accent1">
                  <a:alpha val="40000"/>
                </a:schemeClr>
              </a:glow>
            </a:effectLst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0"/>
            <cx:separator>, </cx:separator>
          </cx:dataLabels>
          <cx:dataId val="0"/>
          <cx:layoutPr>
            <cx:visibility meanLine="0" meanMarker="1" nonoutliers="0" outliers="1"/>
            <cx:statistics quartileMethod="inclusive"/>
          </cx:layoutPr>
        </cx:series>
      </cx:plotAreaRegion>
      <cx:axis id="0">
        <cx:catScaling gapWidth="0.5"/>
        <cx:title>
          <cx:tx>
            <cx:txData>
              <cx:v>Furnishing Status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Furnishing Status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House Price (Million Dollars)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House Price (Million Dollars)</a:t>
              </a:r>
            </a:p>
          </cx:txPr>
        </cx:title>
        <cx:majorGridlines/>
        <cx:tickLabels/>
        <cx:numFmt formatCode="$#,##0.0,,&quot;M&quot;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3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167640</xdr:rowOff>
    </xdr:from>
    <xdr:to>
      <xdr:col>12</xdr:col>
      <xdr:colOff>15240</xdr:colOff>
      <xdr:row>22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52F6035-20D0-4463-92C9-ADA2700C9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15240</xdr:colOff>
      <xdr:row>0</xdr:row>
      <xdr:rowOff>175260</xdr:rowOff>
    </xdr:from>
    <xdr:to>
      <xdr:col>27</xdr:col>
      <xdr:colOff>15240</xdr:colOff>
      <xdr:row>22</xdr:row>
      <xdr:rowOff>83820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DB600E8-57FF-4627-BAF8-0ECB91261B33}"/>
                </a:ext>
                <a:ext uri="{147F2762-F138-4A5C-976F-8EAC2B608ADB}">
                  <a16:predDERef xmlns:a16="http://schemas.microsoft.com/office/drawing/2014/main" pred="{B52F6035-20D0-4463-92C9-ADA2700C9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592667</xdr:colOff>
      <xdr:row>25</xdr:row>
      <xdr:rowOff>16933</xdr:rowOff>
    </xdr:from>
    <xdr:to>
      <xdr:col>7</xdr:col>
      <xdr:colOff>143087</xdr:colOff>
      <xdr:row>40</xdr:row>
      <xdr:rowOff>176953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E8C50D73-EF08-1B8F-8C5D-B8594A01843B}"/>
            </a:ext>
            <a:ext uri="{147F2762-F138-4A5C-976F-8EAC2B608ADB}">
              <a16:predDERef xmlns:a16="http://schemas.microsoft.com/office/drawing/2014/main" pred="{0DB600E8-57FF-4627-BAF8-0ECB91261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5927</xdr:colOff>
      <xdr:row>25</xdr:row>
      <xdr:rowOff>39793</xdr:rowOff>
    </xdr:from>
    <xdr:to>
      <xdr:col>14</xdr:col>
      <xdr:colOff>89747</xdr:colOff>
      <xdr:row>41</xdr:row>
      <xdr:rowOff>39794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52EE2C4-5C18-C25C-A71F-4DCF2BBC1893}"/>
            </a:ext>
            <a:ext uri="{147F2762-F138-4A5C-976F-8EAC2B608ADB}">
              <a16:predDERef xmlns:a16="http://schemas.microsoft.com/office/drawing/2014/main" pred="{E8C50D73-EF08-1B8F-8C5D-B8594A0184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592667</xdr:colOff>
      <xdr:row>44</xdr:row>
      <xdr:rowOff>16934</xdr:rowOff>
    </xdr:from>
    <xdr:to>
      <xdr:col>7</xdr:col>
      <xdr:colOff>310727</xdr:colOff>
      <xdr:row>59</xdr:row>
      <xdr:rowOff>16934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B0D8A6C-0D24-E161-0979-2BCD89E77320}"/>
            </a:ext>
            <a:ext uri="{147F2762-F138-4A5C-976F-8EAC2B608ADB}">
              <a16:predDERef xmlns:a16="http://schemas.microsoft.com/office/drawing/2014/main" pred="{E52EE2C4-5C18-C25C-A71F-4DCF2BBC1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607907</xdr:colOff>
      <xdr:row>44</xdr:row>
      <xdr:rowOff>24554</xdr:rowOff>
    </xdr:from>
    <xdr:to>
      <xdr:col>14</xdr:col>
      <xdr:colOff>135467</xdr:colOff>
      <xdr:row>59</xdr:row>
      <xdr:rowOff>24554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D7FC4C2-FF9B-7B00-E689-63DDA1D90C4F}"/>
            </a:ext>
            <a:ext uri="{147F2762-F138-4A5C-976F-8EAC2B608ADB}">
              <a16:predDERef xmlns:a16="http://schemas.microsoft.com/office/drawing/2014/main" pred="{9B0D8A6C-0D24-E161-0979-2BCD89E773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730</xdr:colOff>
      <xdr:row>63</xdr:row>
      <xdr:rowOff>3314</xdr:rowOff>
    </xdr:from>
    <xdr:to>
      <xdr:col>9</xdr:col>
      <xdr:colOff>870857</xdr:colOff>
      <xdr:row>83</xdr:row>
      <xdr:rowOff>108858</xdr:rowOff>
    </xdr:to>
    <xdr:graphicFrame macro="">
      <xdr:nvGraphicFramePr>
        <xdr:cNvPr id="13" name="Chart 10">
          <a:extLst>
            <a:ext uri="{FF2B5EF4-FFF2-40B4-BE49-F238E27FC236}">
              <a16:creationId xmlns:a16="http://schemas.microsoft.com/office/drawing/2014/main" id="{35A96E89-E627-E78B-23A9-D88A594FF8B7}"/>
            </a:ext>
            <a:ext uri="{147F2762-F138-4A5C-976F-8EAC2B608ADB}">
              <a16:predDERef xmlns:a16="http://schemas.microsoft.com/office/drawing/2014/main" pred="{7D7FC4C2-FF9B-7B00-E689-63DDA1D90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4187</xdr:colOff>
      <xdr:row>62</xdr:row>
      <xdr:rowOff>143747</xdr:rowOff>
    </xdr:from>
    <xdr:to>
      <xdr:col>21</xdr:col>
      <xdr:colOff>50242</xdr:colOff>
      <xdr:row>83</xdr:row>
      <xdr:rowOff>133977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DC983DCD-8654-481D-BB36-A4A9215A042D}"/>
                </a:ext>
                <a:ext uri="{147F2762-F138-4A5C-976F-8EAC2B608ADB}">
                  <a16:predDERef xmlns:a16="http://schemas.microsoft.com/office/drawing/2014/main" pred="{35A96E89-E627-E78B-23A9-D88A594FF8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21AAB0-1372-4CFA-B23F-4CBC24186F33}" name="Table1" displayName="Table1" ref="A1:M546" totalsRowShown="0">
  <autoFilter ref="A1:M546" xr:uid="{5321AAB0-1372-4CFA-B23F-4CBC24186F33}"/>
  <tableColumns count="13">
    <tableColumn id="1" xr3:uid="{23625DBC-D36A-4B0C-A71A-D6AC344CE1C3}" name="area"/>
    <tableColumn id="2" xr3:uid="{64B2ADEB-79BF-440E-B3A6-8113637C7C72}" name="furnishingstatus"/>
    <tableColumn id="3" xr3:uid="{EAF7D8B5-3DAB-4ADE-B205-055CF5C25F9B}" name="bedrooms"/>
    <tableColumn id="4" xr3:uid="{43BF5F46-D000-4F00-8FC6-4BBF741F1513}" name="bathrooms"/>
    <tableColumn id="5" xr3:uid="{58A006F8-1367-42B5-BC6E-ABF3B2F095E7}" name="stories"/>
    <tableColumn id="6" xr3:uid="{356E3D3E-C11D-4319-A35C-42E5117CC710}" name="mainroad"/>
    <tableColumn id="7" xr3:uid="{29F3983A-68E8-4326-B4A0-C6DCBBA52F94}" name="guestroom"/>
    <tableColumn id="8" xr3:uid="{495F2493-2C7B-4FC1-B3BD-6A86F2950B76}" name="basement"/>
    <tableColumn id="9" xr3:uid="{228A641E-8436-4C45-95CD-959C18C3CAFC}" name="hotwaterheating"/>
    <tableColumn id="10" xr3:uid="{99555D61-F8D7-48A0-9E30-2314774A371C}" name="airconditioning"/>
    <tableColumn id="11" xr3:uid="{22304B2C-5C7A-4C49-8E55-16B8550E6076}" name="parking"/>
    <tableColumn id="12" xr3:uid="{98ED73B4-C1E1-4F3A-94B4-1946962BBB38}" name="prefarea"/>
    <tableColumn id="13" xr3:uid="{FF524238-95A9-4DF7-B688-89FD00DF113A}" name="price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62F969-6393-4D5F-90B1-A53E0704100A}" name="Table2" displayName="Table2" ref="P1:AC546" totalsRowShown="0">
  <autoFilter ref="P1:AC546" xr:uid="{8562F969-6393-4D5F-90B1-A53E0704100A}"/>
  <tableColumns count="14">
    <tableColumn id="1" xr3:uid="{42164F99-2E63-45D1-9E6A-E91F57532E00}" name="area"/>
    <tableColumn id="2" xr3:uid="{92C30F80-DB85-4891-97FB-4D0E75AF9A76}" name="is_furnished" dataDxfId="7">
      <calculatedColumnFormula>IF(Table1[[#This Row],[furnishingstatus]]="furnished", 1, 0)</calculatedColumnFormula>
    </tableColumn>
    <tableColumn id="3" xr3:uid="{326ABB7A-EF1C-41BC-A68D-B49F2047E6ED}" name="is_semifurnished" dataDxfId="6">
      <calculatedColumnFormula>IF(Table1[[#This Row],[furnishingstatus]]="semi-furnished", 1, 0)</calculatedColumnFormula>
    </tableColumn>
    <tableColumn id="4" xr3:uid="{DB124A07-7D75-4796-BE3A-0EBA1223C020}" name="bedrooms"/>
    <tableColumn id="5" xr3:uid="{CD4485ED-A40C-4635-ADCB-740AB4B86759}" name="bathrooms"/>
    <tableColumn id="6" xr3:uid="{0D87146A-EF29-4F52-865B-9CEF2260D628}" name="stories"/>
    <tableColumn id="7" xr3:uid="{4861A4A5-EB7C-4BFD-A1F8-2CF97A476F95}" name="mainroad" dataDxfId="5">
      <calculatedColumnFormula>IF(Table1[[#This Row],[mainroad]] = "yes", 1, 0)</calculatedColumnFormula>
    </tableColumn>
    <tableColumn id="8" xr3:uid="{2C874A0F-E005-46B5-82EC-8215B048A1AF}" name="guestroom" dataDxfId="4">
      <calculatedColumnFormula>IF(Table1[[#This Row],[guestroom]]= "yes", 1, 0)</calculatedColumnFormula>
    </tableColumn>
    <tableColumn id="9" xr3:uid="{B504706B-170D-44BF-A1D3-79B5511A29ED}" name="basement" dataDxfId="3">
      <calculatedColumnFormula>IF(Table1[[#This Row],[basement]]="yes", 1, 0)</calculatedColumnFormula>
    </tableColumn>
    <tableColumn id="10" xr3:uid="{04B57219-232A-4C15-8060-12A485F98A6C}" name="hotwaterheating" dataDxfId="2">
      <calculatedColumnFormula>IF(Table1[[#This Row],[hotwaterheating]]="yes", 1, 0)</calculatedColumnFormula>
    </tableColumn>
    <tableColumn id="11" xr3:uid="{A46939A4-227D-4D35-97C1-BEF9935F7E36}" name="airconditioning" dataDxfId="1">
      <calculatedColumnFormula>IF(Table1[[#This Row],[airconditioning]]="yes", 1, 0)</calculatedColumnFormula>
    </tableColumn>
    <tableColumn id="12" xr3:uid="{3E514057-34AD-41B1-BA41-A373EF388864}" name="parking"/>
    <tableColumn id="13" xr3:uid="{5AE4C01D-E9FE-4459-A3CD-E0886262C5D9}" name="prefarea">
      <calculatedColumnFormula>IF(Table1[[#This Row],[prefarea]]= "yes", 1, 0)</calculatedColumnFormula>
    </tableColumn>
    <tableColumn id="14" xr3:uid="{DDC9B986-4AE5-40ED-8E42-872C13CB9E08}" name="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3F2DB-500A-4F26-A5FB-4746D9D3683A}">
  <dimension ref="A1:M546"/>
  <sheetViews>
    <sheetView topLeftCell="A518" workbookViewId="0">
      <selection activeCell="H2" sqref="H2:J546"/>
    </sheetView>
  </sheetViews>
  <sheetFormatPr defaultRowHeight="14.4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13300000</v>
      </c>
      <c r="B2">
        <v>7420</v>
      </c>
      <c r="C2">
        <v>4</v>
      </c>
      <c r="D2">
        <v>2</v>
      </c>
      <c r="E2">
        <v>3</v>
      </c>
      <c r="F2" t="s">
        <v>13</v>
      </c>
      <c r="G2" t="s">
        <v>14</v>
      </c>
      <c r="H2" t="s">
        <v>14</v>
      </c>
      <c r="I2" t="s">
        <v>14</v>
      </c>
      <c r="J2" t="s">
        <v>13</v>
      </c>
      <c r="K2">
        <v>2</v>
      </c>
      <c r="L2" t="s">
        <v>13</v>
      </c>
      <c r="M2" t="s">
        <v>15</v>
      </c>
    </row>
    <row r="3" spans="1:13">
      <c r="A3">
        <v>12250000</v>
      </c>
      <c r="B3">
        <v>8960</v>
      </c>
      <c r="C3">
        <v>4</v>
      </c>
      <c r="D3">
        <v>4</v>
      </c>
      <c r="E3">
        <v>4</v>
      </c>
      <c r="F3" t="s">
        <v>13</v>
      </c>
      <c r="G3" t="s">
        <v>14</v>
      </c>
      <c r="H3" t="s">
        <v>14</v>
      </c>
      <c r="I3" t="s">
        <v>14</v>
      </c>
      <c r="J3" t="s">
        <v>13</v>
      </c>
      <c r="K3">
        <v>3</v>
      </c>
      <c r="L3" t="s">
        <v>14</v>
      </c>
      <c r="M3" t="s">
        <v>15</v>
      </c>
    </row>
    <row r="4" spans="1:13">
      <c r="A4">
        <v>12250000</v>
      </c>
      <c r="B4">
        <v>9960</v>
      </c>
      <c r="C4">
        <v>3</v>
      </c>
      <c r="D4">
        <v>2</v>
      </c>
      <c r="E4">
        <v>2</v>
      </c>
      <c r="F4" t="s">
        <v>13</v>
      </c>
      <c r="G4" t="s">
        <v>14</v>
      </c>
      <c r="H4" t="s">
        <v>13</v>
      </c>
      <c r="I4" t="s">
        <v>14</v>
      </c>
      <c r="J4" t="s">
        <v>14</v>
      </c>
      <c r="K4">
        <v>2</v>
      </c>
      <c r="L4" t="s">
        <v>13</v>
      </c>
      <c r="M4" t="s">
        <v>16</v>
      </c>
    </row>
    <row r="5" spans="1:13">
      <c r="A5">
        <v>12215000</v>
      </c>
      <c r="B5">
        <v>7500</v>
      </c>
      <c r="C5">
        <v>4</v>
      </c>
      <c r="D5">
        <v>2</v>
      </c>
      <c r="E5">
        <v>2</v>
      </c>
      <c r="F5" t="s">
        <v>13</v>
      </c>
      <c r="G5" t="s">
        <v>14</v>
      </c>
      <c r="H5" t="s">
        <v>13</v>
      </c>
      <c r="I5" t="s">
        <v>14</v>
      </c>
      <c r="J5" t="s">
        <v>13</v>
      </c>
      <c r="K5">
        <v>3</v>
      </c>
      <c r="L5" t="s">
        <v>13</v>
      </c>
      <c r="M5" t="s">
        <v>15</v>
      </c>
    </row>
    <row r="6" spans="1:13">
      <c r="A6">
        <v>11410000</v>
      </c>
      <c r="B6">
        <v>7420</v>
      </c>
      <c r="C6">
        <v>4</v>
      </c>
      <c r="D6">
        <v>1</v>
      </c>
      <c r="E6">
        <v>2</v>
      </c>
      <c r="F6" t="s">
        <v>13</v>
      </c>
      <c r="G6" t="s">
        <v>13</v>
      </c>
      <c r="H6" t="s">
        <v>13</v>
      </c>
      <c r="I6" t="s">
        <v>14</v>
      </c>
      <c r="J6" t="s">
        <v>13</v>
      </c>
      <c r="K6">
        <v>2</v>
      </c>
      <c r="L6" t="s">
        <v>14</v>
      </c>
      <c r="M6" t="s">
        <v>15</v>
      </c>
    </row>
    <row r="7" spans="1:13">
      <c r="A7">
        <v>10850000</v>
      </c>
      <c r="B7">
        <v>7500</v>
      </c>
      <c r="C7">
        <v>3</v>
      </c>
      <c r="D7">
        <v>3</v>
      </c>
      <c r="E7">
        <v>1</v>
      </c>
      <c r="F7" t="s">
        <v>13</v>
      </c>
      <c r="G7" t="s">
        <v>14</v>
      </c>
      <c r="H7" t="s">
        <v>13</v>
      </c>
      <c r="I7" t="s">
        <v>14</v>
      </c>
      <c r="J7" t="s">
        <v>13</v>
      </c>
      <c r="K7">
        <v>2</v>
      </c>
      <c r="L7" t="s">
        <v>13</v>
      </c>
      <c r="M7" t="s">
        <v>16</v>
      </c>
    </row>
    <row r="8" spans="1:13">
      <c r="A8">
        <v>10150000</v>
      </c>
      <c r="B8">
        <v>8580</v>
      </c>
      <c r="C8">
        <v>4</v>
      </c>
      <c r="D8">
        <v>3</v>
      </c>
      <c r="E8">
        <v>4</v>
      </c>
      <c r="F8" t="s">
        <v>13</v>
      </c>
      <c r="G8" t="s">
        <v>14</v>
      </c>
      <c r="H8" t="s">
        <v>14</v>
      </c>
      <c r="I8" t="s">
        <v>14</v>
      </c>
      <c r="J8" t="s">
        <v>13</v>
      </c>
      <c r="K8">
        <v>2</v>
      </c>
      <c r="L8" t="s">
        <v>13</v>
      </c>
      <c r="M8" t="s">
        <v>16</v>
      </c>
    </row>
    <row r="9" spans="1:13">
      <c r="A9">
        <v>10150000</v>
      </c>
      <c r="B9">
        <v>16200</v>
      </c>
      <c r="C9">
        <v>5</v>
      </c>
      <c r="D9">
        <v>3</v>
      </c>
      <c r="E9">
        <v>2</v>
      </c>
      <c r="F9" t="s">
        <v>13</v>
      </c>
      <c r="G9" t="s">
        <v>14</v>
      </c>
      <c r="H9" t="s">
        <v>14</v>
      </c>
      <c r="I9" t="s">
        <v>14</v>
      </c>
      <c r="J9" t="s">
        <v>14</v>
      </c>
      <c r="K9">
        <v>0</v>
      </c>
      <c r="L9" t="s">
        <v>14</v>
      </c>
      <c r="M9" t="s">
        <v>17</v>
      </c>
    </row>
    <row r="10" spans="1:13">
      <c r="A10">
        <v>9870000</v>
      </c>
      <c r="B10">
        <v>8100</v>
      </c>
      <c r="C10">
        <v>4</v>
      </c>
      <c r="D10">
        <v>1</v>
      </c>
      <c r="E10">
        <v>2</v>
      </c>
      <c r="F10" t="s">
        <v>13</v>
      </c>
      <c r="G10" t="s">
        <v>13</v>
      </c>
      <c r="H10" t="s">
        <v>13</v>
      </c>
      <c r="I10" t="s">
        <v>14</v>
      </c>
      <c r="J10" t="s">
        <v>13</v>
      </c>
      <c r="K10">
        <v>2</v>
      </c>
      <c r="L10" t="s">
        <v>13</v>
      </c>
      <c r="M10" t="s">
        <v>15</v>
      </c>
    </row>
    <row r="11" spans="1:13">
      <c r="A11">
        <v>9800000</v>
      </c>
      <c r="B11">
        <v>5750</v>
      </c>
      <c r="C11">
        <v>3</v>
      </c>
      <c r="D11">
        <v>2</v>
      </c>
      <c r="E11">
        <v>4</v>
      </c>
      <c r="F11" t="s">
        <v>13</v>
      </c>
      <c r="G11" t="s">
        <v>13</v>
      </c>
      <c r="H11" t="s">
        <v>14</v>
      </c>
      <c r="I11" t="s">
        <v>14</v>
      </c>
      <c r="J11" t="s">
        <v>13</v>
      </c>
      <c r="K11">
        <v>1</v>
      </c>
      <c r="L11" t="s">
        <v>13</v>
      </c>
      <c r="M11" t="s">
        <v>17</v>
      </c>
    </row>
    <row r="12" spans="1:13">
      <c r="A12">
        <v>9800000</v>
      </c>
      <c r="B12">
        <v>13200</v>
      </c>
      <c r="C12">
        <v>3</v>
      </c>
      <c r="D12">
        <v>1</v>
      </c>
      <c r="E12">
        <v>2</v>
      </c>
      <c r="F12" t="s">
        <v>13</v>
      </c>
      <c r="G12" t="s">
        <v>14</v>
      </c>
      <c r="H12" t="s">
        <v>13</v>
      </c>
      <c r="I12" t="s">
        <v>14</v>
      </c>
      <c r="J12" t="s">
        <v>13</v>
      </c>
      <c r="K12">
        <v>2</v>
      </c>
      <c r="L12" t="s">
        <v>13</v>
      </c>
      <c r="M12" t="s">
        <v>15</v>
      </c>
    </row>
    <row r="13" spans="1:13">
      <c r="A13">
        <v>9681000</v>
      </c>
      <c r="B13">
        <v>6000</v>
      </c>
      <c r="C13">
        <v>4</v>
      </c>
      <c r="D13">
        <v>3</v>
      </c>
      <c r="E13">
        <v>2</v>
      </c>
      <c r="F13" t="s">
        <v>13</v>
      </c>
      <c r="G13" t="s">
        <v>13</v>
      </c>
      <c r="H13" t="s">
        <v>13</v>
      </c>
      <c r="I13" t="s">
        <v>13</v>
      </c>
      <c r="J13" t="s">
        <v>14</v>
      </c>
      <c r="K13">
        <v>2</v>
      </c>
      <c r="L13" t="s">
        <v>14</v>
      </c>
      <c r="M13" t="s">
        <v>16</v>
      </c>
    </row>
    <row r="14" spans="1:13">
      <c r="A14">
        <v>9310000</v>
      </c>
      <c r="B14">
        <v>6550</v>
      </c>
      <c r="C14">
        <v>4</v>
      </c>
      <c r="D14">
        <v>2</v>
      </c>
      <c r="E14">
        <v>2</v>
      </c>
      <c r="F14" t="s">
        <v>13</v>
      </c>
      <c r="G14" t="s">
        <v>14</v>
      </c>
      <c r="H14" t="s">
        <v>14</v>
      </c>
      <c r="I14" t="s">
        <v>14</v>
      </c>
      <c r="J14" t="s">
        <v>13</v>
      </c>
      <c r="K14">
        <v>1</v>
      </c>
      <c r="L14" t="s">
        <v>13</v>
      </c>
      <c r="M14" t="s">
        <v>16</v>
      </c>
    </row>
    <row r="15" spans="1:13">
      <c r="A15">
        <v>9240000</v>
      </c>
      <c r="B15">
        <v>3500</v>
      </c>
      <c r="C15">
        <v>4</v>
      </c>
      <c r="D15">
        <v>2</v>
      </c>
      <c r="E15">
        <v>2</v>
      </c>
      <c r="F15" t="s">
        <v>13</v>
      </c>
      <c r="G15" t="s">
        <v>14</v>
      </c>
      <c r="H15" t="s">
        <v>14</v>
      </c>
      <c r="I15" t="s">
        <v>13</v>
      </c>
      <c r="J15" t="s">
        <v>14</v>
      </c>
      <c r="K15">
        <v>2</v>
      </c>
      <c r="L15" t="s">
        <v>14</v>
      </c>
      <c r="M15" t="s">
        <v>15</v>
      </c>
    </row>
    <row r="16" spans="1:13">
      <c r="A16">
        <v>9240000</v>
      </c>
      <c r="B16">
        <v>7800</v>
      </c>
      <c r="C16">
        <v>3</v>
      </c>
      <c r="D16">
        <v>2</v>
      </c>
      <c r="E16">
        <v>2</v>
      </c>
      <c r="F16" t="s">
        <v>13</v>
      </c>
      <c r="G16" t="s">
        <v>14</v>
      </c>
      <c r="H16" t="s">
        <v>14</v>
      </c>
      <c r="I16" t="s">
        <v>14</v>
      </c>
      <c r="J16" t="s">
        <v>14</v>
      </c>
      <c r="K16">
        <v>0</v>
      </c>
      <c r="L16" t="s">
        <v>13</v>
      </c>
      <c r="M16" t="s">
        <v>16</v>
      </c>
    </row>
    <row r="17" spans="1:13">
      <c r="A17">
        <v>9100000</v>
      </c>
      <c r="B17">
        <v>6000</v>
      </c>
      <c r="C17">
        <v>4</v>
      </c>
      <c r="D17">
        <v>1</v>
      </c>
      <c r="E17">
        <v>2</v>
      </c>
      <c r="F17" t="s">
        <v>13</v>
      </c>
      <c r="G17" t="s">
        <v>14</v>
      </c>
      <c r="H17" t="s">
        <v>13</v>
      </c>
      <c r="I17" t="s">
        <v>14</v>
      </c>
      <c r="J17" t="s">
        <v>14</v>
      </c>
      <c r="K17">
        <v>2</v>
      </c>
      <c r="L17" t="s">
        <v>14</v>
      </c>
      <c r="M17" t="s">
        <v>16</v>
      </c>
    </row>
    <row r="18" spans="1:13">
      <c r="A18">
        <v>9100000</v>
      </c>
      <c r="B18">
        <v>6600</v>
      </c>
      <c r="C18">
        <v>4</v>
      </c>
      <c r="D18">
        <v>2</v>
      </c>
      <c r="E18">
        <v>2</v>
      </c>
      <c r="F18" t="s">
        <v>13</v>
      </c>
      <c r="G18" t="s">
        <v>13</v>
      </c>
      <c r="H18" t="s">
        <v>13</v>
      </c>
      <c r="I18" t="s">
        <v>14</v>
      </c>
      <c r="J18" t="s">
        <v>13</v>
      </c>
      <c r="K18">
        <v>1</v>
      </c>
      <c r="L18" t="s">
        <v>13</v>
      </c>
      <c r="M18" t="s">
        <v>17</v>
      </c>
    </row>
    <row r="19" spans="1:13">
      <c r="A19">
        <v>8960000</v>
      </c>
      <c r="B19">
        <v>8500</v>
      </c>
      <c r="C19">
        <v>3</v>
      </c>
      <c r="D19">
        <v>2</v>
      </c>
      <c r="E19">
        <v>4</v>
      </c>
      <c r="F19" t="s">
        <v>13</v>
      </c>
      <c r="G19" t="s">
        <v>14</v>
      </c>
      <c r="H19" t="s">
        <v>14</v>
      </c>
      <c r="I19" t="s">
        <v>14</v>
      </c>
      <c r="J19" t="s">
        <v>13</v>
      </c>
      <c r="K19">
        <v>2</v>
      </c>
      <c r="L19" t="s">
        <v>14</v>
      </c>
      <c r="M19" t="s">
        <v>15</v>
      </c>
    </row>
    <row r="20" spans="1:13">
      <c r="A20">
        <v>8890000</v>
      </c>
      <c r="B20">
        <v>4600</v>
      </c>
      <c r="C20">
        <v>3</v>
      </c>
      <c r="D20">
        <v>2</v>
      </c>
      <c r="E20">
        <v>2</v>
      </c>
      <c r="F20" t="s">
        <v>13</v>
      </c>
      <c r="G20" t="s">
        <v>13</v>
      </c>
      <c r="H20" t="s">
        <v>14</v>
      </c>
      <c r="I20" t="s">
        <v>14</v>
      </c>
      <c r="J20" t="s">
        <v>13</v>
      </c>
      <c r="K20">
        <v>2</v>
      </c>
      <c r="L20" t="s">
        <v>14</v>
      </c>
      <c r="M20" t="s">
        <v>15</v>
      </c>
    </row>
    <row r="21" spans="1:13">
      <c r="A21">
        <v>8855000</v>
      </c>
      <c r="B21">
        <v>6420</v>
      </c>
      <c r="C21">
        <v>3</v>
      </c>
      <c r="D21">
        <v>2</v>
      </c>
      <c r="E21">
        <v>2</v>
      </c>
      <c r="F21" t="s">
        <v>13</v>
      </c>
      <c r="G21" t="s">
        <v>14</v>
      </c>
      <c r="H21" t="s">
        <v>14</v>
      </c>
      <c r="I21" t="s">
        <v>14</v>
      </c>
      <c r="J21" t="s">
        <v>13</v>
      </c>
      <c r="K21">
        <v>1</v>
      </c>
      <c r="L21" t="s">
        <v>13</v>
      </c>
      <c r="M21" t="s">
        <v>16</v>
      </c>
    </row>
    <row r="22" spans="1:13">
      <c r="A22">
        <v>8750000</v>
      </c>
      <c r="B22">
        <v>4320</v>
      </c>
      <c r="C22">
        <v>3</v>
      </c>
      <c r="D22">
        <v>1</v>
      </c>
      <c r="E22">
        <v>2</v>
      </c>
      <c r="F22" t="s">
        <v>13</v>
      </c>
      <c r="G22" t="s">
        <v>14</v>
      </c>
      <c r="H22" t="s">
        <v>13</v>
      </c>
      <c r="I22" t="s">
        <v>13</v>
      </c>
      <c r="J22" t="s">
        <v>14</v>
      </c>
      <c r="K22">
        <v>2</v>
      </c>
      <c r="L22" t="s">
        <v>14</v>
      </c>
      <c r="M22" t="s">
        <v>16</v>
      </c>
    </row>
    <row r="23" spans="1:13">
      <c r="A23">
        <v>8680000</v>
      </c>
      <c r="B23">
        <v>7155</v>
      </c>
      <c r="C23">
        <v>3</v>
      </c>
      <c r="D23">
        <v>2</v>
      </c>
      <c r="E23">
        <v>1</v>
      </c>
      <c r="F23" t="s">
        <v>13</v>
      </c>
      <c r="G23" t="s">
        <v>13</v>
      </c>
      <c r="H23" t="s">
        <v>13</v>
      </c>
      <c r="I23" t="s">
        <v>14</v>
      </c>
      <c r="J23" t="s">
        <v>13</v>
      </c>
      <c r="K23">
        <v>2</v>
      </c>
      <c r="L23" t="s">
        <v>14</v>
      </c>
      <c r="M23" t="s">
        <v>17</v>
      </c>
    </row>
    <row r="24" spans="1:13">
      <c r="A24">
        <v>8645000</v>
      </c>
      <c r="B24">
        <v>8050</v>
      </c>
      <c r="C24">
        <v>3</v>
      </c>
      <c r="D24">
        <v>1</v>
      </c>
      <c r="E24">
        <v>1</v>
      </c>
      <c r="F24" t="s">
        <v>13</v>
      </c>
      <c r="G24" t="s">
        <v>13</v>
      </c>
      <c r="H24" t="s">
        <v>13</v>
      </c>
      <c r="I24" t="s">
        <v>14</v>
      </c>
      <c r="J24" t="s">
        <v>13</v>
      </c>
      <c r="K24">
        <v>1</v>
      </c>
      <c r="L24" t="s">
        <v>14</v>
      </c>
      <c r="M24" t="s">
        <v>15</v>
      </c>
    </row>
    <row r="25" spans="1:13">
      <c r="A25">
        <v>8645000</v>
      </c>
      <c r="B25">
        <v>4560</v>
      </c>
      <c r="C25">
        <v>3</v>
      </c>
      <c r="D25">
        <v>2</v>
      </c>
      <c r="E25">
        <v>2</v>
      </c>
      <c r="F25" t="s">
        <v>13</v>
      </c>
      <c r="G25" t="s">
        <v>13</v>
      </c>
      <c r="H25" t="s">
        <v>13</v>
      </c>
      <c r="I25" t="s">
        <v>14</v>
      </c>
      <c r="J25" t="s">
        <v>13</v>
      </c>
      <c r="K25">
        <v>1</v>
      </c>
      <c r="L25" t="s">
        <v>14</v>
      </c>
      <c r="M25" t="s">
        <v>15</v>
      </c>
    </row>
    <row r="26" spans="1:13">
      <c r="A26">
        <v>8575000</v>
      </c>
      <c r="B26">
        <v>8800</v>
      </c>
      <c r="C26">
        <v>3</v>
      </c>
      <c r="D26">
        <v>2</v>
      </c>
      <c r="E26">
        <v>2</v>
      </c>
      <c r="F26" t="s">
        <v>13</v>
      </c>
      <c r="G26" t="s">
        <v>14</v>
      </c>
      <c r="H26" t="s">
        <v>14</v>
      </c>
      <c r="I26" t="s">
        <v>14</v>
      </c>
      <c r="J26" t="s">
        <v>13</v>
      </c>
      <c r="K26">
        <v>2</v>
      </c>
      <c r="L26" t="s">
        <v>14</v>
      </c>
      <c r="M26" t="s">
        <v>15</v>
      </c>
    </row>
    <row r="27" spans="1:13">
      <c r="A27">
        <v>8540000</v>
      </c>
      <c r="B27">
        <v>6540</v>
      </c>
      <c r="C27">
        <v>4</v>
      </c>
      <c r="D27">
        <v>2</v>
      </c>
      <c r="E27">
        <v>2</v>
      </c>
      <c r="F27" t="s">
        <v>13</v>
      </c>
      <c r="G27" t="s">
        <v>13</v>
      </c>
      <c r="H27" t="s">
        <v>13</v>
      </c>
      <c r="I27" t="s">
        <v>14</v>
      </c>
      <c r="J27" t="s">
        <v>13</v>
      </c>
      <c r="K27">
        <v>2</v>
      </c>
      <c r="L27" t="s">
        <v>13</v>
      </c>
      <c r="M27" t="s">
        <v>15</v>
      </c>
    </row>
    <row r="28" spans="1:13">
      <c r="A28">
        <v>8463000</v>
      </c>
      <c r="B28">
        <v>6000</v>
      </c>
      <c r="C28">
        <v>3</v>
      </c>
      <c r="D28">
        <v>2</v>
      </c>
      <c r="E28">
        <v>4</v>
      </c>
      <c r="F28" t="s">
        <v>13</v>
      </c>
      <c r="G28" t="s">
        <v>13</v>
      </c>
      <c r="H28" t="s">
        <v>13</v>
      </c>
      <c r="I28" t="s">
        <v>14</v>
      </c>
      <c r="J28" t="s">
        <v>13</v>
      </c>
      <c r="K28">
        <v>0</v>
      </c>
      <c r="L28" t="s">
        <v>13</v>
      </c>
      <c r="M28" t="s">
        <v>16</v>
      </c>
    </row>
    <row r="29" spans="1:13">
      <c r="A29">
        <v>8400000</v>
      </c>
      <c r="B29">
        <v>8875</v>
      </c>
      <c r="C29">
        <v>3</v>
      </c>
      <c r="D29">
        <v>1</v>
      </c>
      <c r="E29">
        <v>1</v>
      </c>
      <c r="F29" t="s">
        <v>13</v>
      </c>
      <c r="G29" t="s">
        <v>14</v>
      </c>
      <c r="H29" t="s">
        <v>14</v>
      </c>
      <c r="I29" t="s">
        <v>14</v>
      </c>
      <c r="J29" t="s">
        <v>14</v>
      </c>
      <c r="K29">
        <v>1</v>
      </c>
      <c r="L29" t="s">
        <v>14</v>
      </c>
      <c r="M29" t="s">
        <v>16</v>
      </c>
    </row>
    <row r="30" spans="1:13">
      <c r="A30">
        <v>8400000</v>
      </c>
      <c r="B30">
        <v>7950</v>
      </c>
      <c r="C30">
        <v>5</v>
      </c>
      <c r="D30">
        <v>2</v>
      </c>
      <c r="E30">
        <v>2</v>
      </c>
      <c r="F30" t="s">
        <v>13</v>
      </c>
      <c r="G30" t="s">
        <v>14</v>
      </c>
      <c r="H30" t="s">
        <v>13</v>
      </c>
      <c r="I30" t="s">
        <v>13</v>
      </c>
      <c r="J30" t="s">
        <v>14</v>
      </c>
      <c r="K30">
        <v>2</v>
      </c>
      <c r="L30" t="s">
        <v>14</v>
      </c>
      <c r="M30" t="s">
        <v>17</v>
      </c>
    </row>
    <row r="31" spans="1:13">
      <c r="A31">
        <v>8400000</v>
      </c>
      <c r="B31">
        <v>5500</v>
      </c>
      <c r="C31">
        <v>4</v>
      </c>
      <c r="D31">
        <v>2</v>
      </c>
      <c r="E31">
        <v>2</v>
      </c>
      <c r="F31" t="s">
        <v>13</v>
      </c>
      <c r="G31" t="s">
        <v>14</v>
      </c>
      <c r="H31" t="s">
        <v>13</v>
      </c>
      <c r="I31" t="s">
        <v>14</v>
      </c>
      <c r="J31" t="s">
        <v>13</v>
      </c>
      <c r="K31">
        <v>1</v>
      </c>
      <c r="L31" t="s">
        <v>13</v>
      </c>
      <c r="M31" t="s">
        <v>16</v>
      </c>
    </row>
    <row r="32" spans="1:13">
      <c r="A32">
        <v>8400000</v>
      </c>
      <c r="B32">
        <v>7475</v>
      </c>
      <c r="C32">
        <v>3</v>
      </c>
      <c r="D32">
        <v>2</v>
      </c>
      <c r="E32">
        <v>4</v>
      </c>
      <c r="F32" t="s">
        <v>13</v>
      </c>
      <c r="G32" t="s">
        <v>14</v>
      </c>
      <c r="H32" t="s">
        <v>14</v>
      </c>
      <c r="I32" t="s">
        <v>14</v>
      </c>
      <c r="J32" t="s">
        <v>13</v>
      </c>
      <c r="K32">
        <v>2</v>
      </c>
      <c r="L32" t="s">
        <v>14</v>
      </c>
      <c r="M32" t="s">
        <v>17</v>
      </c>
    </row>
    <row r="33" spans="1:13">
      <c r="A33">
        <v>8400000</v>
      </c>
      <c r="B33">
        <v>7000</v>
      </c>
      <c r="C33">
        <v>3</v>
      </c>
      <c r="D33">
        <v>1</v>
      </c>
      <c r="E33">
        <v>4</v>
      </c>
      <c r="F33" t="s">
        <v>13</v>
      </c>
      <c r="G33" t="s">
        <v>14</v>
      </c>
      <c r="H33" t="s">
        <v>14</v>
      </c>
      <c r="I33" t="s">
        <v>14</v>
      </c>
      <c r="J33" t="s">
        <v>13</v>
      </c>
      <c r="K33">
        <v>2</v>
      </c>
      <c r="L33" t="s">
        <v>14</v>
      </c>
      <c r="M33" t="s">
        <v>16</v>
      </c>
    </row>
    <row r="34" spans="1:13">
      <c r="A34">
        <v>8295000</v>
      </c>
      <c r="B34">
        <v>4880</v>
      </c>
      <c r="C34">
        <v>4</v>
      </c>
      <c r="D34">
        <v>2</v>
      </c>
      <c r="E34">
        <v>2</v>
      </c>
      <c r="F34" t="s">
        <v>13</v>
      </c>
      <c r="G34" t="s">
        <v>14</v>
      </c>
      <c r="H34" t="s">
        <v>14</v>
      </c>
      <c r="I34" t="s">
        <v>14</v>
      </c>
      <c r="J34" t="s">
        <v>13</v>
      </c>
      <c r="K34">
        <v>1</v>
      </c>
      <c r="L34" t="s">
        <v>13</v>
      </c>
      <c r="M34" t="s">
        <v>15</v>
      </c>
    </row>
    <row r="35" spans="1:13">
      <c r="A35">
        <v>8190000</v>
      </c>
      <c r="B35">
        <v>5960</v>
      </c>
      <c r="C35">
        <v>3</v>
      </c>
      <c r="D35">
        <v>3</v>
      </c>
      <c r="E35">
        <v>2</v>
      </c>
      <c r="F35" t="s">
        <v>13</v>
      </c>
      <c r="G35" t="s">
        <v>13</v>
      </c>
      <c r="H35" t="s">
        <v>13</v>
      </c>
      <c r="I35" t="s">
        <v>14</v>
      </c>
      <c r="J35" t="s">
        <v>14</v>
      </c>
      <c r="K35">
        <v>1</v>
      </c>
      <c r="L35" t="s">
        <v>14</v>
      </c>
      <c r="M35" t="s">
        <v>17</v>
      </c>
    </row>
    <row r="36" spans="1:13">
      <c r="A36">
        <v>8120000</v>
      </c>
      <c r="B36">
        <v>6840</v>
      </c>
      <c r="C36">
        <v>5</v>
      </c>
      <c r="D36">
        <v>1</v>
      </c>
      <c r="E36">
        <v>2</v>
      </c>
      <c r="F36" t="s">
        <v>13</v>
      </c>
      <c r="G36" t="s">
        <v>13</v>
      </c>
      <c r="H36" t="s">
        <v>13</v>
      </c>
      <c r="I36" t="s">
        <v>14</v>
      </c>
      <c r="J36" t="s">
        <v>13</v>
      </c>
      <c r="K36">
        <v>1</v>
      </c>
      <c r="L36" t="s">
        <v>14</v>
      </c>
      <c r="M36" t="s">
        <v>15</v>
      </c>
    </row>
    <row r="37" spans="1:13">
      <c r="A37">
        <v>8080940</v>
      </c>
      <c r="B37">
        <v>7000</v>
      </c>
      <c r="C37">
        <v>3</v>
      </c>
      <c r="D37">
        <v>2</v>
      </c>
      <c r="E37">
        <v>4</v>
      </c>
      <c r="F37" t="s">
        <v>13</v>
      </c>
      <c r="G37" t="s">
        <v>14</v>
      </c>
      <c r="H37" t="s">
        <v>14</v>
      </c>
      <c r="I37" t="s">
        <v>14</v>
      </c>
      <c r="J37" t="s">
        <v>13</v>
      </c>
      <c r="K37">
        <v>2</v>
      </c>
      <c r="L37" t="s">
        <v>14</v>
      </c>
      <c r="M37" t="s">
        <v>15</v>
      </c>
    </row>
    <row r="38" spans="1:13">
      <c r="A38">
        <v>8043000</v>
      </c>
      <c r="B38">
        <v>7482</v>
      </c>
      <c r="C38">
        <v>3</v>
      </c>
      <c r="D38">
        <v>2</v>
      </c>
      <c r="E38">
        <v>3</v>
      </c>
      <c r="F38" t="s">
        <v>13</v>
      </c>
      <c r="G38" t="s">
        <v>14</v>
      </c>
      <c r="H38" t="s">
        <v>14</v>
      </c>
      <c r="I38" t="s">
        <v>13</v>
      </c>
      <c r="J38" t="s">
        <v>14</v>
      </c>
      <c r="K38">
        <v>1</v>
      </c>
      <c r="L38" t="s">
        <v>13</v>
      </c>
      <c r="M38" t="s">
        <v>15</v>
      </c>
    </row>
    <row r="39" spans="1:13">
      <c r="A39">
        <v>7980000</v>
      </c>
      <c r="B39">
        <v>9000</v>
      </c>
      <c r="C39">
        <v>4</v>
      </c>
      <c r="D39">
        <v>2</v>
      </c>
      <c r="E39">
        <v>4</v>
      </c>
      <c r="F39" t="s">
        <v>13</v>
      </c>
      <c r="G39" t="s">
        <v>14</v>
      </c>
      <c r="H39" t="s">
        <v>14</v>
      </c>
      <c r="I39" t="s">
        <v>14</v>
      </c>
      <c r="J39" t="s">
        <v>13</v>
      </c>
      <c r="K39">
        <v>2</v>
      </c>
      <c r="L39" t="s">
        <v>14</v>
      </c>
      <c r="M39" t="s">
        <v>15</v>
      </c>
    </row>
    <row r="40" spans="1:13">
      <c r="A40">
        <v>7962500</v>
      </c>
      <c r="B40">
        <v>6000</v>
      </c>
      <c r="C40">
        <v>3</v>
      </c>
      <c r="D40">
        <v>1</v>
      </c>
      <c r="E40">
        <v>4</v>
      </c>
      <c r="F40" t="s">
        <v>13</v>
      </c>
      <c r="G40" t="s">
        <v>13</v>
      </c>
      <c r="H40" t="s">
        <v>14</v>
      </c>
      <c r="I40" t="s">
        <v>14</v>
      </c>
      <c r="J40" t="s">
        <v>13</v>
      </c>
      <c r="K40">
        <v>2</v>
      </c>
      <c r="L40" t="s">
        <v>14</v>
      </c>
      <c r="M40" t="s">
        <v>17</v>
      </c>
    </row>
    <row r="41" spans="1:13">
      <c r="A41">
        <v>7910000</v>
      </c>
      <c r="B41">
        <v>6000</v>
      </c>
      <c r="C41">
        <v>4</v>
      </c>
      <c r="D41">
        <v>2</v>
      </c>
      <c r="E41">
        <v>4</v>
      </c>
      <c r="F41" t="s">
        <v>13</v>
      </c>
      <c r="G41" t="s">
        <v>14</v>
      </c>
      <c r="H41" t="s">
        <v>14</v>
      </c>
      <c r="I41" t="s">
        <v>14</v>
      </c>
      <c r="J41" t="s">
        <v>13</v>
      </c>
      <c r="K41">
        <v>1</v>
      </c>
      <c r="L41" t="s">
        <v>14</v>
      </c>
      <c r="M41" t="s">
        <v>16</v>
      </c>
    </row>
    <row r="42" spans="1:13">
      <c r="A42">
        <v>7875000</v>
      </c>
      <c r="B42">
        <v>6550</v>
      </c>
      <c r="C42">
        <v>3</v>
      </c>
      <c r="D42">
        <v>1</v>
      </c>
      <c r="E42">
        <v>2</v>
      </c>
      <c r="F42" t="s">
        <v>13</v>
      </c>
      <c r="G42" t="s">
        <v>14</v>
      </c>
      <c r="H42" t="s">
        <v>13</v>
      </c>
      <c r="I42" t="s">
        <v>14</v>
      </c>
      <c r="J42" t="s">
        <v>13</v>
      </c>
      <c r="K42">
        <v>0</v>
      </c>
      <c r="L42" t="s">
        <v>13</v>
      </c>
      <c r="M42" t="s">
        <v>15</v>
      </c>
    </row>
    <row r="43" spans="1:13">
      <c r="A43">
        <v>7840000</v>
      </c>
      <c r="B43">
        <v>6360</v>
      </c>
      <c r="C43">
        <v>3</v>
      </c>
      <c r="D43">
        <v>2</v>
      </c>
      <c r="E43">
        <v>4</v>
      </c>
      <c r="F43" t="s">
        <v>13</v>
      </c>
      <c r="G43" t="s">
        <v>14</v>
      </c>
      <c r="H43" t="s">
        <v>14</v>
      </c>
      <c r="I43" t="s">
        <v>14</v>
      </c>
      <c r="J43" t="s">
        <v>13</v>
      </c>
      <c r="K43">
        <v>0</v>
      </c>
      <c r="L43" t="s">
        <v>13</v>
      </c>
      <c r="M43" t="s">
        <v>15</v>
      </c>
    </row>
    <row r="44" spans="1:13">
      <c r="A44">
        <v>7700000</v>
      </c>
      <c r="B44">
        <v>6480</v>
      </c>
      <c r="C44">
        <v>3</v>
      </c>
      <c r="D44">
        <v>2</v>
      </c>
      <c r="E44">
        <v>4</v>
      </c>
      <c r="F44" t="s">
        <v>13</v>
      </c>
      <c r="G44" t="s">
        <v>14</v>
      </c>
      <c r="H44" t="s">
        <v>14</v>
      </c>
      <c r="I44" t="s">
        <v>14</v>
      </c>
      <c r="J44" t="s">
        <v>13</v>
      </c>
      <c r="K44">
        <v>2</v>
      </c>
      <c r="L44" t="s">
        <v>14</v>
      </c>
      <c r="M44" t="s">
        <v>17</v>
      </c>
    </row>
    <row r="45" spans="1:13">
      <c r="A45">
        <v>7700000</v>
      </c>
      <c r="B45">
        <v>6000</v>
      </c>
      <c r="C45">
        <v>4</v>
      </c>
      <c r="D45">
        <v>2</v>
      </c>
      <c r="E45">
        <v>4</v>
      </c>
      <c r="F45" t="s">
        <v>13</v>
      </c>
      <c r="G45" t="s">
        <v>14</v>
      </c>
      <c r="H45" t="s">
        <v>14</v>
      </c>
      <c r="I45" t="s">
        <v>14</v>
      </c>
      <c r="J45" t="s">
        <v>14</v>
      </c>
      <c r="K45">
        <v>2</v>
      </c>
      <c r="L45" t="s">
        <v>14</v>
      </c>
      <c r="M45" t="s">
        <v>16</v>
      </c>
    </row>
    <row r="46" spans="1:13">
      <c r="A46">
        <v>7560000</v>
      </c>
      <c r="B46">
        <v>6000</v>
      </c>
      <c r="C46">
        <v>4</v>
      </c>
      <c r="D46">
        <v>2</v>
      </c>
      <c r="E46">
        <v>4</v>
      </c>
      <c r="F46" t="s">
        <v>13</v>
      </c>
      <c r="G46" t="s">
        <v>14</v>
      </c>
      <c r="H46" t="s">
        <v>14</v>
      </c>
      <c r="I46" t="s">
        <v>14</v>
      </c>
      <c r="J46" t="s">
        <v>13</v>
      </c>
      <c r="K46">
        <v>1</v>
      </c>
      <c r="L46" t="s">
        <v>14</v>
      </c>
      <c r="M46" t="s">
        <v>15</v>
      </c>
    </row>
    <row r="47" spans="1:13">
      <c r="A47">
        <v>7560000</v>
      </c>
      <c r="B47">
        <v>6000</v>
      </c>
      <c r="C47">
        <v>3</v>
      </c>
      <c r="D47">
        <v>2</v>
      </c>
      <c r="E47">
        <v>3</v>
      </c>
      <c r="F47" t="s">
        <v>13</v>
      </c>
      <c r="G47" t="s">
        <v>14</v>
      </c>
      <c r="H47" t="s">
        <v>14</v>
      </c>
      <c r="I47" t="s">
        <v>14</v>
      </c>
      <c r="J47" t="s">
        <v>13</v>
      </c>
      <c r="K47">
        <v>0</v>
      </c>
      <c r="L47" t="s">
        <v>14</v>
      </c>
      <c r="M47" t="s">
        <v>16</v>
      </c>
    </row>
    <row r="48" spans="1:13">
      <c r="A48">
        <v>7525000</v>
      </c>
      <c r="B48">
        <v>6000</v>
      </c>
      <c r="C48">
        <v>3</v>
      </c>
      <c r="D48">
        <v>2</v>
      </c>
      <c r="E48">
        <v>4</v>
      </c>
      <c r="F48" t="s">
        <v>13</v>
      </c>
      <c r="G48" t="s">
        <v>14</v>
      </c>
      <c r="H48" t="s">
        <v>14</v>
      </c>
      <c r="I48" t="s">
        <v>14</v>
      </c>
      <c r="J48" t="s">
        <v>13</v>
      </c>
      <c r="K48">
        <v>1</v>
      </c>
      <c r="L48" t="s">
        <v>14</v>
      </c>
      <c r="M48" t="s">
        <v>15</v>
      </c>
    </row>
    <row r="49" spans="1:13">
      <c r="A49">
        <v>7490000</v>
      </c>
      <c r="B49">
        <v>6600</v>
      </c>
      <c r="C49">
        <v>3</v>
      </c>
      <c r="D49">
        <v>1</v>
      </c>
      <c r="E49">
        <v>4</v>
      </c>
      <c r="F49" t="s">
        <v>13</v>
      </c>
      <c r="G49" t="s">
        <v>14</v>
      </c>
      <c r="H49" t="s">
        <v>14</v>
      </c>
      <c r="I49" t="s">
        <v>14</v>
      </c>
      <c r="J49" t="s">
        <v>13</v>
      </c>
      <c r="K49">
        <v>3</v>
      </c>
      <c r="L49" t="s">
        <v>13</v>
      </c>
      <c r="M49" t="s">
        <v>15</v>
      </c>
    </row>
    <row r="50" spans="1:13">
      <c r="A50">
        <v>7455000</v>
      </c>
      <c r="B50">
        <v>4300</v>
      </c>
      <c r="C50">
        <v>3</v>
      </c>
      <c r="D50">
        <v>2</v>
      </c>
      <c r="E50">
        <v>2</v>
      </c>
      <c r="F50" t="s">
        <v>13</v>
      </c>
      <c r="G50" t="s">
        <v>14</v>
      </c>
      <c r="H50" t="s">
        <v>13</v>
      </c>
      <c r="I50" t="s">
        <v>14</v>
      </c>
      <c r="J50" t="s">
        <v>14</v>
      </c>
      <c r="K50">
        <v>1</v>
      </c>
      <c r="L50" t="s">
        <v>14</v>
      </c>
      <c r="M50" t="s">
        <v>17</v>
      </c>
    </row>
    <row r="51" spans="1:13">
      <c r="A51">
        <v>7420000</v>
      </c>
      <c r="B51">
        <v>7440</v>
      </c>
      <c r="C51">
        <v>3</v>
      </c>
      <c r="D51">
        <v>2</v>
      </c>
      <c r="E51">
        <v>1</v>
      </c>
      <c r="F51" t="s">
        <v>13</v>
      </c>
      <c r="G51" t="s">
        <v>13</v>
      </c>
      <c r="H51" t="s">
        <v>13</v>
      </c>
      <c r="I51" t="s">
        <v>14</v>
      </c>
      <c r="J51" t="s">
        <v>13</v>
      </c>
      <c r="K51">
        <v>0</v>
      </c>
      <c r="L51" t="s">
        <v>13</v>
      </c>
      <c r="M51" t="s">
        <v>16</v>
      </c>
    </row>
    <row r="52" spans="1:13">
      <c r="A52">
        <v>7420000</v>
      </c>
      <c r="B52">
        <v>7440</v>
      </c>
      <c r="C52">
        <v>3</v>
      </c>
      <c r="D52">
        <v>2</v>
      </c>
      <c r="E52">
        <v>4</v>
      </c>
      <c r="F52" t="s">
        <v>13</v>
      </c>
      <c r="G52" t="s">
        <v>14</v>
      </c>
      <c r="H52" t="s">
        <v>14</v>
      </c>
      <c r="I52" t="s">
        <v>14</v>
      </c>
      <c r="J52" t="s">
        <v>14</v>
      </c>
      <c r="K52">
        <v>1</v>
      </c>
      <c r="L52" t="s">
        <v>13</v>
      </c>
      <c r="M52" t="s">
        <v>17</v>
      </c>
    </row>
    <row r="53" spans="1:13">
      <c r="A53">
        <v>7420000</v>
      </c>
      <c r="B53">
        <v>6325</v>
      </c>
      <c r="C53">
        <v>3</v>
      </c>
      <c r="D53">
        <v>1</v>
      </c>
      <c r="E53">
        <v>4</v>
      </c>
      <c r="F53" t="s">
        <v>13</v>
      </c>
      <c r="G53" t="s">
        <v>14</v>
      </c>
      <c r="H53" t="s">
        <v>14</v>
      </c>
      <c r="I53" t="s">
        <v>14</v>
      </c>
      <c r="J53" t="s">
        <v>13</v>
      </c>
      <c r="K53">
        <v>1</v>
      </c>
      <c r="L53" t="s">
        <v>14</v>
      </c>
      <c r="M53" t="s">
        <v>17</v>
      </c>
    </row>
    <row r="54" spans="1:13">
      <c r="A54">
        <v>7350000</v>
      </c>
      <c r="B54">
        <v>6000</v>
      </c>
      <c r="C54">
        <v>4</v>
      </c>
      <c r="D54">
        <v>2</v>
      </c>
      <c r="E54">
        <v>4</v>
      </c>
      <c r="F54" t="s">
        <v>13</v>
      </c>
      <c r="G54" t="s">
        <v>13</v>
      </c>
      <c r="H54" t="s">
        <v>14</v>
      </c>
      <c r="I54" t="s">
        <v>14</v>
      </c>
      <c r="J54" t="s">
        <v>13</v>
      </c>
      <c r="K54">
        <v>1</v>
      </c>
      <c r="L54" t="s">
        <v>14</v>
      </c>
      <c r="M54" t="s">
        <v>15</v>
      </c>
    </row>
    <row r="55" spans="1:13">
      <c r="A55">
        <v>7350000</v>
      </c>
      <c r="B55">
        <v>5150</v>
      </c>
      <c r="C55">
        <v>3</v>
      </c>
      <c r="D55">
        <v>2</v>
      </c>
      <c r="E55">
        <v>4</v>
      </c>
      <c r="F55" t="s">
        <v>13</v>
      </c>
      <c r="G55" t="s">
        <v>14</v>
      </c>
      <c r="H55" t="s">
        <v>14</v>
      </c>
      <c r="I55" t="s">
        <v>14</v>
      </c>
      <c r="J55" t="s">
        <v>13</v>
      </c>
      <c r="K55">
        <v>2</v>
      </c>
      <c r="L55" t="s">
        <v>14</v>
      </c>
      <c r="M55" t="s">
        <v>16</v>
      </c>
    </row>
    <row r="56" spans="1:13">
      <c r="A56">
        <v>7350000</v>
      </c>
      <c r="B56">
        <v>6000</v>
      </c>
      <c r="C56">
        <v>3</v>
      </c>
      <c r="D56">
        <v>2</v>
      </c>
      <c r="E56">
        <v>2</v>
      </c>
      <c r="F56" t="s">
        <v>13</v>
      </c>
      <c r="G56" t="s">
        <v>13</v>
      </c>
      <c r="H56" t="s">
        <v>14</v>
      </c>
      <c r="I56" t="s">
        <v>14</v>
      </c>
      <c r="J56" t="s">
        <v>13</v>
      </c>
      <c r="K56">
        <v>1</v>
      </c>
      <c r="L56" t="s">
        <v>14</v>
      </c>
      <c r="M56" t="s">
        <v>16</v>
      </c>
    </row>
    <row r="57" spans="1:13">
      <c r="A57">
        <v>7350000</v>
      </c>
      <c r="B57">
        <v>6000</v>
      </c>
      <c r="C57">
        <v>3</v>
      </c>
      <c r="D57">
        <v>1</v>
      </c>
      <c r="E57">
        <v>2</v>
      </c>
      <c r="F57" t="s">
        <v>13</v>
      </c>
      <c r="G57" t="s">
        <v>14</v>
      </c>
      <c r="H57" t="s">
        <v>14</v>
      </c>
      <c r="I57" t="s">
        <v>14</v>
      </c>
      <c r="J57" t="s">
        <v>13</v>
      </c>
      <c r="K57">
        <v>1</v>
      </c>
      <c r="L57" t="s">
        <v>14</v>
      </c>
      <c r="M57" t="s">
        <v>17</v>
      </c>
    </row>
    <row r="58" spans="1:13">
      <c r="A58">
        <v>7343000</v>
      </c>
      <c r="B58">
        <v>11440</v>
      </c>
      <c r="C58">
        <v>4</v>
      </c>
      <c r="D58">
        <v>1</v>
      </c>
      <c r="E58">
        <v>2</v>
      </c>
      <c r="F58" t="s">
        <v>13</v>
      </c>
      <c r="G58" t="s">
        <v>14</v>
      </c>
      <c r="H58" t="s">
        <v>13</v>
      </c>
      <c r="I58" t="s">
        <v>14</v>
      </c>
      <c r="J58" t="s">
        <v>14</v>
      </c>
      <c r="K58">
        <v>1</v>
      </c>
      <c r="L58" t="s">
        <v>13</v>
      </c>
      <c r="M58" t="s">
        <v>16</v>
      </c>
    </row>
    <row r="59" spans="1:13">
      <c r="A59">
        <v>7245000</v>
      </c>
      <c r="B59">
        <v>9000</v>
      </c>
      <c r="C59">
        <v>4</v>
      </c>
      <c r="D59">
        <v>2</v>
      </c>
      <c r="E59">
        <v>4</v>
      </c>
      <c r="F59" t="s">
        <v>13</v>
      </c>
      <c r="G59" t="s">
        <v>13</v>
      </c>
      <c r="H59" t="s">
        <v>14</v>
      </c>
      <c r="I59" t="s">
        <v>14</v>
      </c>
      <c r="J59" t="s">
        <v>13</v>
      </c>
      <c r="K59">
        <v>1</v>
      </c>
      <c r="L59" t="s">
        <v>13</v>
      </c>
      <c r="M59" t="s">
        <v>15</v>
      </c>
    </row>
    <row r="60" spans="1:13">
      <c r="A60">
        <v>7210000</v>
      </c>
      <c r="B60">
        <v>7680</v>
      </c>
      <c r="C60">
        <v>4</v>
      </c>
      <c r="D60">
        <v>2</v>
      </c>
      <c r="E60">
        <v>4</v>
      </c>
      <c r="F60" t="s">
        <v>13</v>
      </c>
      <c r="G60" t="s">
        <v>13</v>
      </c>
      <c r="H60" t="s">
        <v>14</v>
      </c>
      <c r="I60" t="s">
        <v>14</v>
      </c>
      <c r="J60" t="s">
        <v>13</v>
      </c>
      <c r="K60">
        <v>1</v>
      </c>
      <c r="L60" t="s">
        <v>14</v>
      </c>
      <c r="M60" t="s">
        <v>16</v>
      </c>
    </row>
    <row r="61" spans="1:13">
      <c r="A61">
        <v>7210000</v>
      </c>
      <c r="B61">
        <v>6000</v>
      </c>
      <c r="C61">
        <v>3</v>
      </c>
      <c r="D61">
        <v>2</v>
      </c>
      <c r="E61">
        <v>4</v>
      </c>
      <c r="F61" t="s">
        <v>13</v>
      </c>
      <c r="G61" t="s">
        <v>13</v>
      </c>
      <c r="H61" t="s">
        <v>14</v>
      </c>
      <c r="I61" t="s">
        <v>14</v>
      </c>
      <c r="J61" t="s">
        <v>13</v>
      </c>
      <c r="K61">
        <v>1</v>
      </c>
      <c r="L61" t="s">
        <v>14</v>
      </c>
      <c r="M61" t="s">
        <v>15</v>
      </c>
    </row>
    <row r="62" spans="1:13">
      <c r="A62">
        <v>7140000</v>
      </c>
      <c r="B62">
        <v>6000</v>
      </c>
      <c r="C62">
        <v>3</v>
      </c>
      <c r="D62">
        <v>2</v>
      </c>
      <c r="E62">
        <v>2</v>
      </c>
      <c r="F62" t="s">
        <v>13</v>
      </c>
      <c r="G62" t="s">
        <v>13</v>
      </c>
      <c r="H62" t="s">
        <v>14</v>
      </c>
      <c r="I62" t="s">
        <v>14</v>
      </c>
      <c r="J62" t="s">
        <v>14</v>
      </c>
      <c r="K62">
        <v>1</v>
      </c>
      <c r="L62" t="s">
        <v>14</v>
      </c>
      <c r="M62" t="s">
        <v>16</v>
      </c>
    </row>
    <row r="63" spans="1:13">
      <c r="A63">
        <v>7070000</v>
      </c>
      <c r="B63">
        <v>8880</v>
      </c>
      <c r="C63">
        <v>2</v>
      </c>
      <c r="D63">
        <v>1</v>
      </c>
      <c r="E63">
        <v>1</v>
      </c>
      <c r="F63" t="s">
        <v>13</v>
      </c>
      <c r="G63" t="s">
        <v>14</v>
      </c>
      <c r="H63" t="s">
        <v>14</v>
      </c>
      <c r="I63" t="s">
        <v>14</v>
      </c>
      <c r="J63" t="s">
        <v>13</v>
      </c>
      <c r="K63">
        <v>1</v>
      </c>
      <c r="L63" t="s">
        <v>14</v>
      </c>
      <c r="M63" t="s">
        <v>16</v>
      </c>
    </row>
    <row r="64" spans="1:13">
      <c r="A64">
        <v>7070000</v>
      </c>
      <c r="B64">
        <v>6240</v>
      </c>
      <c r="C64">
        <v>4</v>
      </c>
      <c r="D64">
        <v>2</v>
      </c>
      <c r="E64">
        <v>2</v>
      </c>
      <c r="F64" t="s">
        <v>13</v>
      </c>
      <c r="G64" t="s">
        <v>14</v>
      </c>
      <c r="H64" t="s">
        <v>14</v>
      </c>
      <c r="I64" t="s">
        <v>14</v>
      </c>
      <c r="J64" t="s">
        <v>13</v>
      </c>
      <c r="K64">
        <v>1</v>
      </c>
      <c r="L64" t="s">
        <v>14</v>
      </c>
      <c r="M64" t="s">
        <v>15</v>
      </c>
    </row>
    <row r="65" spans="1:13">
      <c r="A65">
        <v>7035000</v>
      </c>
      <c r="B65">
        <v>6360</v>
      </c>
      <c r="C65">
        <v>4</v>
      </c>
      <c r="D65">
        <v>2</v>
      </c>
      <c r="E65">
        <v>3</v>
      </c>
      <c r="F65" t="s">
        <v>13</v>
      </c>
      <c r="G65" t="s">
        <v>14</v>
      </c>
      <c r="H65" t="s">
        <v>14</v>
      </c>
      <c r="I65" t="s">
        <v>14</v>
      </c>
      <c r="J65" t="s">
        <v>13</v>
      </c>
      <c r="K65">
        <v>2</v>
      </c>
      <c r="L65" t="s">
        <v>13</v>
      </c>
      <c r="M65" t="s">
        <v>15</v>
      </c>
    </row>
    <row r="66" spans="1:13">
      <c r="A66">
        <v>7000000</v>
      </c>
      <c r="B66">
        <v>11175</v>
      </c>
      <c r="C66">
        <v>3</v>
      </c>
      <c r="D66">
        <v>1</v>
      </c>
      <c r="E66">
        <v>1</v>
      </c>
      <c r="F66" t="s">
        <v>13</v>
      </c>
      <c r="G66" t="s">
        <v>14</v>
      </c>
      <c r="H66" t="s">
        <v>13</v>
      </c>
      <c r="I66" t="s">
        <v>14</v>
      </c>
      <c r="J66" t="s">
        <v>13</v>
      </c>
      <c r="K66">
        <v>1</v>
      </c>
      <c r="L66" t="s">
        <v>13</v>
      </c>
      <c r="M66" t="s">
        <v>15</v>
      </c>
    </row>
    <row r="67" spans="1:13">
      <c r="A67">
        <v>6930000</v>
      </c>
      <c r="B67">
        <v>8880</v>
      </c>
      <c r="C67">
        <v>3</v>
      </c>
      <c r="D67">
        <v>2</v>
      </c>
      <c r="E67">
        <v>2</v>
      </c>
      <c r="F67" t="s">
        <v>13</v>
      </c>
      <c r="G67" t="s">
        <v>14</v>
      </c>
      <c r="H67" t="s">
        <v>13</v>
      </c>
      <c r="I67" t="s">
        <v>14</v>
      </c>
      <c r="J67" t="s">
        <v>13</v>
      </c>
      <c r="K67">
        <v>1</v>
      </c>
      <c r="L67" t="s">
        <v>14</v>
      </c>
      <c r="M67" t="s">
        <v>15</v>
      </c>
    </row>
    <row r="68" spans="1:13">
      <c r="A68">
        <v>6930000</v>
      </c>
      <c r="B68">
        <v>13200</v>
      </c>
      <c r="C68">
        <v>2</v>
      </c>
      <c r="D68">
        <v>1</v>
      </c>
      <c r="E68">
        <v>1</v>
      </c>
      <c r="F68" t="s">
        <v>13</v>
      </c>
      <c r="G68" t="s">
        <v>14</v>
      </c>
      <c r="H68" t="s">
        <v>13</v>
      </c>
      <c r="I68" t="s">
        <v>13</v>
      </c>
      <c r="J68" t="s">
        <v>14</v>
      </c>
      <c r="K68">
        <v>1</v>
      </c>
      <c r="L68" t="s">
        <v>14</v>
      </c>
      <c r="M68" t="s">
        <v>15</v>
      </c>
    </row>
    <row r="69" spans="1:13">
      <c r="A69">
        <v>6895000</v>
      </c>
      <c r="B69">
        <v>7700</v>
      </c>
      <c r="C69">
        <v>3</v>
      </c>
      <c r="D69">
        <v>2</v>
      </c>
      <c r="E69">
        <v>1</v>
      </c>
      <c r="F69" t="s">
        <v>13</v>
      </c>
      <c r="G69" t="s">
        <v>14</v>
      </c>
      <c r="H69" t="s">
        <v>14</v>
      </c>
      <c r="I69" t="s">
        <v>14</v>
      </c>
      <c r="J69" t="s">
        <v>14</v>
      </c>
      <c r="K69">
        <v>2</v>
      </c>
      <c r="L69" t="s">
        <v>14</v>
      </c>
      <c r="M69" t="s">
        <v>17</v>
      </c>
    </row>
    <row r="70" spans="1:13">
      <c r="A70">
        <v>6860000</v>
      </c>
      <c r="B70">
        <v>6000</v>
      </c>
      <c r="C70">
        <v>3</v>
      </c>
      <c r="D70">
        <v>1</v>
      </c>
      <c r="E70">
        <v>1</v>
      </c>
      <c r="F70" t="s">
        <v>13</v>
      </c>
      <c r="G70" t="s">
        <v>14</v>
      </c>
      <c r="H70" t="s">
        <v>14</v>
      </c>
      <c r="I70" t="s">
        <v>14</v>
      </c>
      <c r="J70" t="s">
        <v>13</v>
      </c>
      <c r="K70">
        <v>1</v>
      </c>
      <c r="L70" t="s">
        <v>14</v>
      </c>
      <c r="M70" t="s">
        <v>15</v>
      </c>
    </row>
    <row r="71" spans="1:13">
      <c r="A71">
        <v>6790000</v>
      </c>
      <c r="B71">
        <v>12090</v>
      </c>
      <c r="C71">
        <v>4</v>
      </c>
      <c r="D71">
        <v>2</v>
      </c>
      <c r="E71">
        <v>2</v>
      </c>
      <c r="F71" t="s">
        <v>13</v>
      </c>
      <c r="G71" t="s">
        <v>14</v>
      </c>
      <c r="H71" t="s">
        <v>14</v>
      </c>
      <c r="I71" t="s">
        <v>14</v>
      </c>
      <c r="J71" t="s">
        <v>14</v>
      </c>
      <c r="K71">
        <v>2</v>
      </c>
      <c r="L71" t="s">
        <v>13</v>
      </c>
      <c r="M71" t="s">
        <v>15</v>
      </c>
    </row>
    <row r="72" spans="1:13">
      <c r="A72">
        <v>6790000</v>
      </c>
      <c r="B72">
        <v>4000</v>
      </c>
      <c r="C72">
        <v>3</v>
      </c>
      <c r="D72">
        <v>2</v>
      </c>
      <c r="E72">
        <v>2</v>
      </c>
      <c r="F72" t="s">
        <v>13</v>
      </c>
      <c r="G72" t="s">
        <v>14</v>
      </c>
      <c r="H72" t="s">
        <v>13</v>
      </c>
      <c r="I72" t="s">
        <v>14</v>
      </c>
      <c r="J72" t="s">
        <v>13</v>
      </c>
      <c r="K72">
        <v>0</v>
      </c>
      <c r="L72" t="s">
        <v>13</v>
      </c>
      <c r="M72" t="s">
        <v>16</v>
      </c>
    </row>
    <row r="73" spans="1:13">
      <c r="A73">
        <v>6755000</v>
      </c>
      <c r="B73">
        <v>6000</v>
      </c>
      <c r="C73">
        <v>4</v>
      </c>
      <c r="D73">
        <v>2</v>
      </c>
      <c r="E73">
        <v>4</v>
      </c>
      <c r="F73" t="s">
        <v>13</v>
      </c>
      <c r="G73" t="s">
        <v>14</v>
      </c>
      <c r="H73" t="s">
        <v>14</v>
      </c>
      <c r="I73" t="s">
        <v>14</v>
      </c>
      <c r="J73" t="s">
        <v>13</v>
      </c>
      <c r="K73">
        <v>0</v>
      </c>
      <c r="L73" t="s">
        <v>14</v>
      </c>
      <c r="M73" t="s">
        <v>17</v>
      </c>
    </row>
    <row r="74" spans="1:13">
      <c r="A74">
        <v>6720000</v>
      </c>
      <c r="B74">
        <v>5020</v>
      </c>
      <c r="C74">
        <v>3</v>
      </c>
      <c r="D74">
        <v>1</v>
      </c>
      <c r="E74">
        <v>4</v>
      </c>
      <c r="F74" t="s">
        <v>13</v>
      </c>
      <c r="G74" t="s">
        <v>14</v>
      </c>
      <c r="H74" t="s">
        <v>14</v>
      </c>
      <c r="I74" t="s">
        <v>14</v>
      </c>
      <c r="J74" t="s">
        <v>13</v>
      </c>
      <c r="K74">
        <v>0</v>
      </c>
      <c r="L74" t="s">
        <v>13</v>
      </c>
      <c r="M74" t="s">
        <v>17</v>
      </c>
    </row>
    <row r="75" spans="1:13">
      <c r="A75">
        <v>6685000</v>
      </c>
      <c r="B75">
        <v>6600</v>
      </c>
      <c r="C75">
        <v>2</v>
      </c>
      <c r="D75">
        <v>2</v>
      </c>
      <c r="E75">
        <v>4</v>
      </c>
      <c r="F75" t="s">
        <v>13</v>
      </c>
      <c r="G75" t="s">
        <v>14</v>
      </c>
      <c r="H75" t="s">
        <v>13</v>
      </c>
      <c r="I75" t="s">
        <v>14</v>
      </c>
      <c r="J75" t="s">
        <v>14</v>
      </c>
      <c r="K75">
        <v>0</v>
      </c>
      <c r="L75" t="s">
        <v>13</v>
      </c>
      <c r="M75" t="s">
        <v>15</v>
      </c>
    </row>
    <row r="76" spans="1:13">
      <c r="A76">
        <v>6650000</v>
      </c>
      <c r="B76">
        <v>4040</v>
      </c>
      <c r="C76">
        <v>3</v>
      </c>
      <c r="D76">
        <v>1</v>
      </c>
      <c r="E76">
        <v>2</v>
      </c>
      <c r="F76" t="s">
        <v>13</v>
      </c>
      <c r="G76" t="s">
        <v>14</v>
      </c>
      <c r="H76" t="s">
        <v>13</v>
      </c>
      <c r="I76" t="s">
        <v>13</v>
      </c>
      <c r="J76" t="s">
        <v>14</v>
      </c>
      <c r="K76">
        <v>1</v>
      </c>
      <c r="L76" t="s">
        <v>14</v>
      </c>
      <c r="M76" t="s">
        <v>15</v>
      </c>
    </row>
    <row r="77" spans="1:13">
      <c r="A77">
        <v>6650000</v>
      </c>
      <c r="B77">
        <v>4260</v>
      </c>
      <c r="C77">
        <v>4</v>
      </c>
      <c r="D77">
        <v>2</v>
      </c>
      <c r="E77">
        <v>2</v>
      </c>
      <c r="F77" t="s">
        <v>13</v>
      </c>
      <c r="G77" t="s">
        <v>14</v>
      </c>
      <c r="H77" t="s">
        <v>14</v>
      </c>
      <c r="I77" t="s">
        <v>13</v>
      </c>
      <c r="J77" t="s">
        <v>14</v>
      </c>
      <c r="K77">
        <v>0</v>
      </c>
      <c r="L77" t="s">
        <v>14</v>
      </c>
      <c r="M77" t="s">
        <v>16</v>
      </c>
    </row>
    <row r="78" spans="1:13">
      <c r="A78">
        <v>6650000</v>
      </c>
      <c r="B78">
        <v>6420</v>
      </c>
      <c r="C78">
        <v>3</v>
      </c>
      <c r="D78">
        <v>2</v>
      </c>
      <c r="E78">
        <v>3</v>
      </c>
      <c r="F78" t="s">
        <v>13</v>
      </c>
      <c r="G78" t="s">
        <v>14</v>
      </c>
      <c r="H78" t="s">
        <v>14</v>
      </c>
      <c r="I78" t="s">
        <v>14</v>
      </c>
      <c r="J78" t="s">
        <v>13</v>
      </c>
      <c r="K78">
        <v>0</v>
      </c>
      <c r="L78" t="s">
        <v>13</v>
      </c>
      <c r="M78" t="s">
        <v>15</v>
      </c>
    </row>
    <row r="79" spans="1:13">
      <c r="A79">
        <v>6650000</v>
      </c>
      <c r="B79">
        <v>6500</v>
      </c>
      <c r="C79">
        <v>3</v>
      </c>
      <c r="D79">
        <v>2</v>
      </c>
      <c r="E79">
        <v>3</v>
      </c>
      <c r="F79" t="s">
        <v>13</v>
      </c>
      <c r="G79" t="s">
        <v>14</v>
      </c>
      <c r="H79" t="s">
        <v>14</v>
      </c>
      <c r="I79" t="s">
        <v>14</v>
      </c>
      <c r="J79" t="s">
        <v>13</v>
      </c>
      <c r="K79">
        <v>0</v>
      </c>
      <c r="L79" t="s">
        <v>13</v>
      </c>
      <c r="M79" t="s">
        <v>15</v>
      </c>
    </row>
    <row r="80" spans="1:13">
      <c r="A80">
        <v>6650000</v>
      </c>
      <c r="B80">
        <v>5700</v>
      </c>
      <c r="C80">
        <v>3</v>
      </c>
      <c r="D80">
        <v>1</v>
      </c>
      <c r="E80">
        <v>1</v>
      </c>
      <c r="F80" t="s">
        <v>13</v>
      </c>
      <c r="G80" t="s">
        <v>13</v>
      </c>
      <c r="H80" t="s">
        <v>13</v>
      </c>
      <c r="I80" t="s">
        <v>14</v>
      </c>
      <c r="J80" t="s">
        <v>13</v>
      </c>
      <c r="K80">
        <v>2</v>
      </c>
      <c r="L80" t="s">
        <v>13</v>
      </c>
      <c r="M80" t="s">
        <v>15</v>
      </c>
    </row>
    <row r="81" spans="1:13">
      <c r="A81">
        <v>6650000</v>
      </c>
      <c r="B81">
        <v>6000</v>
      </c>
      <c r="C81">
        <v>3</v>
      </c>
      <c r="D81">
        <v>2</v>
      </c>
      <c r="E81">
        <v>3</v>
      </c>
      <c r="F81" t="s">
        <v>13</v>
      </c>
      <c r="G81" t="s">
        <v>13</v>
      </c>
      <c r="H81" t="s">
        <v>14</v>
      </c>
      <c r="I81" t="s">
        <v>14</v>
      </c>
      <c r="J81" t="s">
        <v>13</v>
      </c>
      <c r="K81">
        <v>0</v>
      </c>
      <c r="L81" t="s">
        <v>14</v>
      </c>
      <c r="M81" t="s">
        <v>15</v>
      </c>
    </row>
    <row r="82" spans="1:13">
      <c r="A82">
        <v>6629000</v>
      </c>
      <c r="B82">
        <v>6000</v>
      </c>
      <c r="C82">
        <v>3</v>
      </c>
      <c r="D82">
        <v>1</v>
      </c>
      <c r="E82">
        <v>2</v>
      </c>
      <c r="F82" t="s">
        <v>13</v>
      </c>
      <c r="G82" t="s">
        <v>14</v>
      </c>
      <c r="H82" t="s">
        <v>14</v>
      </c>
      <c r="I82" t="s">
        <v>13</v>
      </c>
      <c r="J82" t="s">
        <v>14</v>
      </c>
      <c r="K82">
        <v>1</v>
      </c>
      <c r="L82" t="s">
        <v>13</v>
      </c>
      <c r="M82" t="s">
        <v>16</v>
      </c>
    </row>
    <row r="83" spans="1:13">
      <c r="A83">
        <v>6615000</v>
      </c>
      <c r="B83">
        <v>4000</v>
      </c>
      <c r="C83">
        <v>3</v>
      </c>
      <c r="D83">
        <v>2</v>
      </c>
      <c r="E83">
        <v>2</v>
      </c>
      <c r="F83" t="s">
        <v>13</v>
      </c>
      <c r="G83" t="s">
        <v>14</v>
      </c>
      <c r="H83" t="s">
        <v>13</v>
      </c>
      <c r="I83" t="s">
        <v>14</v>
      </c>
      <c r="J83" t="s">
        <v>13</v>
      </c>
      <c r="K83">
        <v>1</v>
      </c>
      <c r="L83" t="s">
        <v>14</v>
      </c>
      <c r="M83" t="s">
        <v>16</v>
      </c>
    </row>
    <row r="84" spans="1:13">
      <c r="A84">
        <v>6615000</v>
      </c>
      <c r="B84">
        <v>10500</v>
      </c>
      <c r="C84">
        <v>3</v>
      </c>
      <c r="D84">
        <v>2</v>
      </c>
      <c r="E84">
        <v>1</v>
      </c>
      <c r="F84" t="s">
        <v>13</v>
      </c>
      <c r="G84" t="s">
        <v>14</v>
      </c>
      <c r="H84" t="s">
        <v>13</v>
      </c>
      <c r="I84" t="s">
        <v>14</v>
      </c>
      <c r="J84" t="s">
        <v>13</v>
      </c>
      <c r="K84">
        <v>1</v>
      </c>
      <c r="L84" t="s">
        <v>13</v>
      </c>
      <c r="M84" t="s">
        <v>15</v>
      </c>
    </row>
    <row r="85" spans="1:13">
      <c r="A85">
        <v>6580000</v>
      </c>
      <c r="B85">
        <v>6000</v>
      </c>
      <c r="C85">
        <v>3</v>
      </c>
      <c r="D85">
        <v>2</v>
      </c>
      <c r="E85">
        <v>4</v>
      </c>
      <c r="F85" t="s">
        <v>13</v>
      </c>
      <c r="G85" t="s">
        <v>14</v>
      </c>
      <c r="H85" t="s">
        <v>14</v>
      </c>
      <c r="I85" t="s">
        <v>14</v>
      </c>
      <c r="J85" t="s">
        <v>13</v>
      </c>
      <c r="K85">
        <v>0</v>
      </c>
      <c r="L85" t="s">
        <v>14</v>
      </c>
      <c r="M85" t="s">
        <v>16</v>
      </c>
    </row>
    <row r="86" spans="1:13">
      <c r="A86">
        <v>6510000</v>
      </c>
      <c r="B86">
        <v>3760</v>
      </c>
      <c r="C86">
        <v>3</v>
      </c>
      <c r="D86">
        <v>1</v>
      </c>
      <c r="E86">
        <v>2</v>
      </c>
      <c r="F86" t="s">
        <v>13</v>
      </c>
      <c r="G86" t="s">
        <v>14</v>
      </c>
      <c r="H86" t="s">
        <v>14</v>
      </c>
      <c r="I86" t="s">
        <v>13</v>
      </c>
      <c r="J86" t="s">
        <v>14</v>
      </c>
      <c r="K86">
        <v>2</v>
      </c>
      <c r="L86" t="s">
        <v>14</v>
      </c>
      <c r="M86" t="s">
        <v>16</v>
      </c>
    </row>
    <row r="87" spans="1:13">
      <c r="A87">
        <v>6510000</v>
      </c>
      <c r="B87">
        <v>8250</v>
      </c>
      <c r="C87">
        <v>3</v>
      </c>
      <c r="D87">
        <v>2</v>
      </c>
      <c r="E87">
        <v>3</v>
      </c>
      <c r="F87" t="s">
        <v>13</v>
      </c>
      <c r="G87" t="s">
        <v>14</v>
      </c>
      <c r="H87" t="s">
        <v>14</v>
      </c>
      <c r="I87" t="s">
        <v>14</v>
      </c>
      <c r="J87" t="s">
        <v>13</v>
      </c>
      <c r="K87">
        <v>0</v>
      </c>
      <c r="L87" t="s">
        <v>14</v>
      </c>
      <c r="M87" t="s">
        <v>15</v>
      </c>
    </row>
    <row r="88" spans="1:13">
      <c r="A88">
        <v>6510000</v>
      </c>
      <c r="B88">
        <v>6670</v>
      </c>
      <c r="C88">
        <v>3</v>
      </c>
      <c r="D88">
        <v>1</v>
      </c>
      <c r="E88">
        <v>3</v>
      </c>
      <c r="F88" t="s">
        <v>13</v>
      </c>
      <c r="G88" t="s">
        <v>14</v>
      </c>
      <c r="H88" t="s">
        <v>13</v>
      </c>
      <c r="I88" t="s">
        <v>14</v>
      </c>
      <c r="J88" t="s">
        <v>14</v>
      </c>
      <c r="K88">
        <v>0</v>
      </c>
      <c r="L88" t="s">
        <v>13</v>
      </c>
      <c r="M88" t="s">
        <v>17</v>
      </c>
    </row>
    <row r="89" spans="1:13">
      <c r="A89">
        <v>6475000</v>
      </c>
      <c r="B89">
        <v>3960</v>
      </c>
      <c r="C89">
        <v>3</v>
      </c>
      <c r="D89">
        <v>1</v>
      </c>
      <c r="E89">
        <v>1</v>
      </c>
      <c r="F89" t="s">
        <v>13</v>
      </c>
      <c r="G89" t="s">
        <v>14</v>
      </c>
      <c r="H89" t="s">
        <v>13</v>
      </c>
      <c r="I89" t="s">
        <v>14</v>
      </c>
      <c r="J89" t="s">
        <v>14</v>
      </c>
      <c r="K89">
        <v>2</v>
      </c>
      <c r="L89" t="s">
        <v>14</v>
      </c>
      <c r="M89" t="s">
        <v>16</v>
      </c>
    </row>
    <row r="90" spans="1:13">
      <c r="A90">
        <v>6475000</v>
      </c>
      <c r="B90">
        <v>7410</v>
      </c>
      <c r="C90">
        <v>3</v>
      </c>
      <c r="D90">
        <v>1</v>
      </c>
      <c r="E90">
        <v>1</v>
      </c>
      <c r="F90" t="s">
        <v>13</v>
      </c>
      <c r="G90" t="s">
        <v>13</v>
      </c>
      <c r="H90" t="s">
        <v>13</v>
      </c>
      <c r="I90" t="s">
        <v>14</v>
      </c>
      <c r="J90" t="s">
        <v>13</v>
      </c>
      <c r="K90">
        <v>2</v>
      </c>
      <c r="L90" t="s">
        <v>13</v>
      </c>
      <c r="M90" t="s">
        <v>17</v>
      </c>
    </row>
    <row r="91" spans="1:13">
      <c r="A91">
        <v>6440000</v>
      </c>
      <c r="B91">
        <v>8580</v>
      </c>
      <c r="C91">
        <v>5</v>
      </c>
      <c r="D91">
        <v>3</v>
      </c>
      <c r="E91">
        <v>2</v>
      </c>
      <c r="F91" t="s">
        <v>13</v>
      </c>
      <c r="G91" t="s">
        <v>14</v>
      </c>
      <c r="H91" t="s">
        <v>14</v>
      </c>
      <c r="I91" t="s">
        <v>14</v>
      </c>
      <c r="J91" t="s">
        <v>14</v>
      </c>
      <c r="K91">
        <v>2</v>
      </c>
      <c r="L91" t="s">
        <v>14</v>
      </c>
      <c r="M91" t="s">
        <v>15</v>
      </c>
    </row>
    <row r="92" spans="1:13">
      <c r="A92">
        <v>6440000</v>
      </c>
      <c r="B92">
        <v>5000</v>
      </c>
      <c r="C92">
        <v>3</v>
      </c>
      <c r="D92">
        <v>1</v>
      </c>
      <c r="E92">
        <v>2</v>
      </c>
      <c r="F92" t="s">
        <v>13</v>
      </c>
      <c r="G92" t="s">
        <v>14</v>
      </c>
      <c r="H92" t="s">
        <v>14</v>
      </c>
      <c r="I92" t="s">
        <v>14</v>
      </c>
      <c r="J92" t="s">
        <v>13</v>
      </c>
      <c r="K92">
        <v>0</v>
      </c>
      <c r="L92" t="s">
        <v>14</v>
      </c>
      <c r="M92" t="s">
        <v>16</v>
      </c>
    </row>
    <row r="93" spans="1:13">
      <c r="A93">
        <v>6419000</v>
      </c>
      <c r="B93">
        <v>6750</v>
      </c>
      <c r="C93">
        <v>2</v>
      </c>
      <c r="D93">
        <v>1</v>
      </c>
      <c r="E93">
        <v>1</v>
      </c>
      <c r="F93" t="s">
        <v>13</v>
      </c>
      <c r="G93" t="s">
        <v>13</v>
      </c>
      <c r="H93" t="s">
        <v>13</v>
      </c>
      <c r="I93" t="s">
        <v>14</v>
      </c>
      <c r="J93" t="s">
        <v>14</v>
      </c>
      <c r="K93">
        <v>2</v>
      </c>
      <c r="L93" t="s">
        <v>13</v>
      </c>
      <c r="M93" t="s">
        <v>15</v>
      </c>
    </row>
    <row r="94" spans="1:13">
      <c r="A94">
        <v>6405000</v>
      </c>
      <c r="B94">
        <v>4800</v>
      </c>
      <c r="C94">
        <v>3</v>
      </c>
      <c r="D94">
        <v>2</v>
      </c>
      <c r="E94">
        <v>4</v>
      </c>
      <c r="F94" t="s">
        <v>13</v>
      </c>
      <c r="G94" t="s">
        <v>13</v>
      </c>
      <c r="H94" t="s">
        <v>14</v>
      </c>
      <c r="I94" t="s">
        <v>14</v>
      </c>
      <c r="J94" t="s">
        <v>13</v>
      </c>
      <c r="K94">
        <v>0</v>
      </c>
      <c r="L94" t="s">
        <v>14</v>
      </c>
      <c r="M94" t="s">
        <v>15</v>
      </c>
    </row>
    <row r="95" spans="1:13">
      <c r="A95">
        <v>6300000</v>
      </c>
      <c r="B95">
        <v>7200</v>
      </c>
      <c r="C95">
        <v>3</v>
      </c>
      <c r="D95">
        <v>2</v>
      </c>
      <c r="E95">
        <v>1</v>
      </c>
      <c r="F95" t="s">
        <v>13</v>
      </c>
      <c r="G95" t="s">
        <v>14</v>
      </c>
      <c r="H95" t="s">
        <v>13</v>
      </c>
      <c r="I95" t="s">
        <v>14</v>
      </c>
      <c r="J95" t="s">
        <v>13</v>
      </c>
      <c r="K95">
        <v>3</v>
      </c>
      <c r="L95" t="s">
        <v>14</v>
      </c>
      <c r="M95" t="s">
        <v>16</v>
      </c>
    </row>
    <row r="96" spans="1:13">
      <c r="A96">
        <v>6300000</v>
      </c>
      <c r="B96">
        <v>6000</v>
      </c>
      <c r="C96">
        <v>4</v>
      </c>
      <c r="D96">
        <v>2</v>
      </c>
      <c r="E96">
        <v>4</v>
      </c>
      <c r="F96" t="s">
        <v>13</v>
      </c>
      <c r="G96" t="s">
        <v>14</v>
      </c>
      <c r="H96" t="s">
        <v>14</v>
      </c>
      <c r="I96" t="s">
        <v>14</v>
      </c>
      <c r="J96" t="s">
        <v>14</v>
      </c>
      <c r="K96">
        <v>1</v>
      </c>
      <c r="L96" t="s">
        <v>14</v>
      </c>
      <c r="M96" t="s">
        <v>16</v>
      </c>
    </row>
    <row r="97" spans="1:13">
      <c r="A97">
        <v>6300000</v>
      </c>
      <c r="B97">
        <v>4100</v>
      </c>
      <c r="C97">
        <v>3</v>
      </c>
      <c r="D97">
        <v>2</v>
      </c>
      <c r="E97">
        <v>3</v>
      </c>
      <c r="F97" t="s">
        <v>13</v>
      </c>
      <c r="G97" t="s">
        <v>14</v>
      </c>
      <c r="H97" t="s">
        <v>14</v>
      </c>
      <c r="I97" t="s">
        <v>14</v>
      </c>
      <c r="J97" t="s">
        <v>13</v>
      </c>
      <c r="K97">
        <v>2</v>
      </c>
      <c r="L97" t="s">
        <v>14</v>
      </c>
      <c r="M97" t="s">
        <v>16</v>
      </c>
    </row>
    <row r="98" spans="1:13">
      <c r="A98">
        <v>6300000</v>
      </c>
      <c r="B98">
        <v>9000</v>
      </c>
      <c r="C98">
        <v>3</v>
      </c>
      <c r="D98">
        <v>1</v>
      </c>
      <c r="E98">
        <v>1</v>
      </c>
      <c r="F98" t="s">
        <v>13</v>
      </c>
      <c r="G98" t="s">
        <v>14</v>
      </c>
      <c r="H98" t="s">
        <v>13</v>
      </c>
      <c r="I98" t="s">
        <v>14</v>
      </c>
      <c r="J98" t="s">
        <v>14</v>
      </c>
      <c r="K98">
        <v>1</v>
      </c>
      <c r="L98" t="s">
        <v>13</v>
      </c>
      <c r="M98" t="s">
        <v>15</v>
      </c>
    </row>
    <row r="99" spans="1:13">
      <c r="A99">
        <v>6300000</v>
      </c>
      <c r="B99">
        <v>6400</v>
      </c>
      <c r="C99">
        <v>3</v>
      </c>
      <c r="D99">
        <v>1</v>
      </c>
      <c r="E99">
        <v>1</v>
      </c>
      <c r="F99" t="s">
        <v>13</v>
      </c>
      <c r="G99" t="s">
        <v>13</v>
      </c>
      <c r="H99" t="s">
        <v>13</v>
      </c>
      <c r="I99" t="s">
        <v>14</v>
      </c>
      <c r="J99" t="s">
        <v>13</v>
      </c>
      <c r="K99">
        <v>1</v>
      </c>
      <c r="L99" t="s">
        <v>13</v>
      </c>
      <c r="M99" t="s">
        <v>16</v>
      </c>
    </row>
    <row r="100" spans="1:13">
      <c r="A100">
        <v>6293000</v>
      </c>
      <c r="B100">
        <v>6600</v>
      </c>
      <c r="C100">
        <v>3</v>
      </c>
      <c r="D100">
        <v>2</v>
      </c>
      <c r="E100">
        <v>3</v>
      </c>
      <c r="F100" t="s">
        <v>13</v>
      </c>
      <c r="G100" t="s">
        <v>14</v>
      </c>
      <c r="H100" t="s">
        <v>14</v>
      </c>
      <c r="I100" t="s">
        <v>14</v>
      </c>
      <c r="J100" t="s">
        <v>13</v>
      </c>
      <c r="K100">
        <v>0</v>
      </c>
      <c r="L100" t="s">
        <v>13</v>
      </c>
      <c r="M100" t="s">
        <v>17</v>
      </c>
    </row>
    <row r="101" spans="1:13">
      <c r="A101">
        <v>6265000</v>
      </c>
      <c r="B101">
        <v>6000</v>
      </c>
      <c r="C101">
        <v>4</v>
      </c>
      <c r="D101">
        <v>1</v>
      </c>
      <c r="E101">
        <v>3</v>
      </c>
      <c r="F101" t="s">
        <v>13</v>
      </c>
      <c r="G101" t="s">
        <v>13</v>
      </c>
      <c r="H101" t="s">
        <v>13</v>
      </c>
      <c r="I101" t="s">
        <v>14</v>
      </c>
      <c r="J101" t="s">
        <v>14</v>
      </c>
      <c r="K101">
        <v>0</v>
      </c>
      <c r="L101" t="s">
        <v>13</v>
      </c>
      <c r="M101" t="s">
        <v>17</v>
      </c>
    </row>
    <row r="102" spans="1:13">
      <c r="A102">
        <v>6230000</v>
      </c>
      <c r="B102">
        <v>6600</v>
      </c>
      <c r="C102">
        <v>3</v>
      </c>
      <c r="D102">
        <v>2</v>
      </c>
      <c r="E102">
        <v>1</v>
      </c>
      <c r="F102" t="s">
        <v>13</v>
      </c>
      <c r="G102" t="s">
        <v>14</v>
      </c>
      <c r="H102" t="s">
        <v>13</v>
      </c>
      <c r="I102" t="s">
        <v>14</v>
      </c>
      <c r="J102" t="s">
        <v>13</v>
      </c>
      <c r="K102">
        <v>0</v>
      </c>
      <c r="L102" t="s">
        <v>13</v>
      </c>
      <c r="M102" t="s">
        <v>17</v>
      </c>
    </row>
    <row r="103" spans="1:13">
      <c r="A103">
        <v>6230000</v>
      </c>
      <c r="B103">
        <v>5500</v>
      </c>
      <c r="C103">
        <v>3</v>
      </c>
      <c r="D103">
        <v>1</v>
      </c>
      <c r="E103">
        <v>3</v>
      </c>
      <c r="F103" t="s">
        <v>13</v>
      </c>
      <c r="G103" t="s">
        <v>14</v>
      </c>
      <c r="H103" t="s">
        <v>14</v>
      </c>
      <c r="I103" t="s">
        <v>14</v>
      </c>
      <c r="J103" t="s">
        <v>14</v>
      </c>
      <c r="K103">
        <v>1</v>
      </c>
      <c r="L103" t="s">
        <v>13</v>
      </c>
      <c r="M103" t="s">
        <v>17</v>
      </c>
    </row>
    <row r="104" spans="1:13">
      <c r="A104">
        <v>6195000</v>
      </c>
      <c r="B104">
        <v>5500</v>
      </c>
      <c r="C104">
        <v>3</v>
      </c>
      <c r="D104">
        <v>2</v>
      </c>
      <c r="E104">
        <v>4</v>
      </c>
      <c r="F104" t="s">
        <v>13</v>
      </c>
      <c r="G104" t="s">
        <v>13</v>
      </c>
      <c r="H104" t="s">
        <v>14</v>
      </c>
      <c r="I104" t="s">
        <v>14</v>
      </c>
      <c r="J104" t="s">
        <v>13</v>
      </c>
      <c r="K104">
        <v>1</v>
      </c>
      <c r="L104" t="s">
        <v>14</v>
      </c>
      <c r="M104" t="s">
        <v>16</v>
      </c>
    </row>
    <row r="105" spans="1:13">
      <c r="A105">
        <v>6195000</v>
      </c>
      <c r="B105">
        <v>6350</v>
      </c>
      <c r="C105">
        <v>3</v>
      </c>
      <c r="D105">
        <v>2</v>
      </c>
      <c r="E105">
        <v>3</v>
      </c>
      <c r="F105" t="s">
        <v>13</v>
      </c>
      <c r="G105" t="s">
        <v>13</v>
      </c>
      <c r="H105" t="s">
        <v>14</v>
      </c>
      <c r="I105" t="s">
        <v>14</v>
      </c>
      <c r="J105" t="s">
        <v>13</v>
      </c>
      <c r="K105">
        <v>0</v>
      </c>
      <c r="L105" t="s">
        <v>14</v>
      </c>
      <c r="M105" t="s">
        <v>15</v>
      </c>
    </row>
    <row r="106" spans="1:13">
      <c r="A106">
        <v>6195000</v>
      </c>
      <c r="B106">
        <v>5500</v>
      </c>
      <c r="C106">
        <v>3</v>
      </c>
      <c r="D106">
        <v>2</v>
      </c>
      <c r="E106">
        <v>1</v>
      </c>
      <c r="F106" t="s">
        <v>13</v>
      </c>
      <c r="G106" t="s">
        <v>13</v>
      </c>
      <c r="H106" t="s">
        <v>13</v>
      </c>
      <c r="I106" t="s">
        <v>14</v>
      </c>
      <c r="J106" t="s">
        <v>14</v>
      </c>
      <c r="K106">
        <v>2</v>
      </c>
      <c r="L106" t="s">
        <v>13</v>
      </c>
      <c r="M106" t="s">
        <v>15</v>
      </c>
    </row>
    <row r="107" spans="1:13">
      <c r="A107">
        <v>6160000</v>
      </c>
      <c r="B107">
        <v>4500</v>
      </c>
      <c r="C107">
        <v>3</v>
      </c>
      <c r="D107">
        <v>1</v>
      </c>
      <c r="E107">
        <v>4</v>
      </c>
      <c r="F107" t="s">
        <v>13</v>
      </c>
      <c r="G107" t="s">
        <v>14</v>
      </c>
      <c r="H107" t="s">
        <v>14</v>
      </c>
      <c r="I107" t="s">
        <v>14</v>
      </c>
      <c r="J107" t="s">
        <v>13</v>
      </c>
      <c r="K107">
        <v>0</v>
      </c>
      <c r="L107" t="s">
        <v>14</v>
      </c>
      <c r="M107" t="s">
        <v>17</v>
      </c>
    </row>
    <row r="108" spans="1:13">
      <c r="A108">
        <v>6160000</v>
      </c>
      <c r="B108">
        <v>5450</v>
      </c>
      <c r="C108">
        <v>4</v>
      </c>
      <c r="D108">
        <v>2</v>
      </c>
      <c r="E108">
        <v>1</v>
      </c>
      <c r="F108" t="s">
        <v>13</v>
      </c>
      <c r="G108" t="s">
        <v>14</v>
      </c>
      <c r="H108" t="s">
        <v>13</v>
      </c>
      <c r="I108" t="s">
        <v>14</v>
      </c>
      <c r="J108" t="s">
        <v>13</v>
      </c>
      <c r="K108">
        <v>0</v>
      </c>
      <c r="L108" t="s">
        <v>13</v>
      </c>
      <c r="M108" t="s">
        <v>16</v>
      </c>
    </row>
    <row r="109" spans="1:13">
      <c r="A109">
        <v>6125000</v>
      </c>
      <c r="B109">
        <v>6420</v>
      </c>
      <c r="C109">
        <v>3</v>
      </c>
      <c r="D109">
        <v>1</v>
      </c>
      <c r="E109">
        <v>3</v>
      </c>
      <c r="F109" t="s">
        <v>13</v>
      </c>
      <c r="G109" t="s">
        <v>14</v>
      </c>
      <c r="H109" t="s">
        <v>13</v>
      </c>
      <c r="I109" t="s">
        <v>14</v>
      </c>
      <c r="J109" t="s">
        <v>14</v>
      </c>
      <c r="K109">
        <v>0</v>
      </c>
      <c r="L109" t="s">
        <v>13</v>
      </c>
      <c r="M109" t="s">
        <v>17</v>
      </c>
    </row>
    <row r="110" spans="1:13">
      <c r="A110">
        <v>6107500</v>
      </c>
      <c r="B110">
        <v>3240</v>
      </c>
      <c r="C110">
        <v>4</v>
      </c>
      <c r="D110">
        <v>1</v>
      </c>
      <c r="E110">
        <v>3</v>
      </c>
      <c r="F110" t="s">
        <v>13</v>
      </c>
      <c r="G110" t="s">
        <v>14</v>
      </c>
      <c r="H110" t="s">
        <v>14</v>
      </c>
      <c r="I110" t="s">
        <v>14</v>
      </c>
      <c r="J110" t="s">
        <v>14</v>
      </c>
      <c r="K110">
        <v>1</v>
      </c>
      <c r="L110" t="s">
        <v>14</v>
      </c>
      <c r="M110" t="s">
        <v>16</v>
      </c>
    </row>
    <row r="111" spans="1:13">
      <c r="A111">
        <v>6090000</v>
      </c>
      <c r="B111">
        <v>6615</v>
      </c>
      <c r="C111">
        <v>4</v>
      </c>
      <c r="D111">
        <v>2</v>
      </c>
      <c r="E111">
        <v>2</v>
      </c>
      <c r="F111" t="s">
        <v>13</v>
      </c>
      <c r="G111" t="s">
        <v>13</v>
      </c>
      <c r="H111" t="s">
        <v>14</v>
      </c>
      <c r="I111" t="s">
        <v>13</v>
      </c>
      <c r="J111" t="s">
        <v>14</v>
      </c>
      <c r="K111">
        <v>1</v>
      </c>
      <c r="L111" t="s">
        <v>14</v>
      </c>
      <c r="M111" t="s">
        <v>16</v>
      </c>
    </row>
    <row r="112" spans="1:13">
      <c r="A112">
        <v>6090000</v>
      </c>
      <c r="B112">
        <v>6600</v>
      </c>
      <c r="C112">
        <v>3</v>
      </c>
      <c r="D112">
        <v>1</v>
      </c>
      <c r="E112">
        <v>1</v>
      </c>
      <c r="F112" t="s">
        <v>13</v>
      </c>
      <c r="G112" t="s">
        <v>13</v>
      </c>
      <c r="H112" t="s">
        <v>13</v>
      </c>
      <c r="I112" t="s">
        <v>14</v>
      </c>
      <c r="J112" t="s">
        <v>14</v>
      </c>
      <c r="K112">
        <v>2</v>
      </c>
      <c r="L112" t="s">
        <v>13</v>
      </c>
      <c r="M112" t="s">
        <v>16</v>
      </c>
    </row>
    <row r="113" spans="1:13">
      <c r="A113">
        <v>6090000</v>
      </c>
      <c r="B113">
        <v>8372</v>
      </c>
      <c r="C113">
        <v>3</v>
      </c>
      <c r="D113">
        <v>1</v>
      </c>
      <c r="E113">
        <v>3</v>
      </c>
      <c r="F113" t="s">
        <v>13</v>
      </c>
      <c r="G113" t="s">
        <v>14</v>
      </c>
      <c r="H113" t="s">
        <v>14</v>
      </c>
      <c r="I113" t="s">
        <v>14</v>
      </c>
      <c r="J113" t="s">
        <v>13</v>
      </c>
      <c r="K113">
        <v>2</v>
      </c>
      <c r="L113" t="s">
        <v>14</v>
      </c>
      <c r="M113" t="s">
        <v>17</v>
      </c>
    </row>
    <row r="114" spans="1:13">
      <c r="A114">
        <v>6083000</v>
      </c>
      <c r="B114">
        <v>4300</v>
      </c>
      <c r="C114">
        <v>6</v>
      </c>
      <c r="D114">
        <v>2</v>
      </c>
      <c r="E114">
        <v>2</v>
      </c>
      <c r="F114" t="s">
        <v>13</v>
      </c>
      <c r="G114" t="s">
        <v>14</v>
      </c>
      <c r="H114" t="s">
        <v>14</v>
      </c>
      <c r="I114" t="s">
        <v>14</v>
      </c>
      <c r="J114" t="s">
        <v>14</v>
      </c>
      <c r="K114">
        <v>0</v>
      </c>
      <c r="L114" t="s">
        <v>14</v>
      </c>
      <c r="M114" t="s">
        <v>15</v>
      </c>
    </row>
    <row r="115" spans="1:13">
      <c r="A115">
        <v>6083000</v>
      </c>
      <c r="B115">
        <v>9620</v>
      </c>
      <c r="C115">
        <v>3</v>
      </c>
      <c r="D115">
        <v>1</v>
      </c>
      <c r="E115">
        <v>1</v>
      </c>
      <c r="F115" t="s">
        <v>13</v>
      </c>
      <c r="G115" t="s">
        <v>14</v>
      </c>
      <c r="H115" t="s">
        <v>13</v>
      </c>
      <c r="I115" t="s">
        <v>14</v>
      </c>
      <c r="J115" t="s">
        <v>14</v>
      </c>
      <c r="K115">
        <v>2</v>
      </c>
      <c r="L115" t="s">
        <v>13</v>
      </c>
      <c r="M115" t="s">
        <v>15</v>
      </c>
    </row>
    <row r="116" spans="1:13">
      <c r="A116">
        <v>6020000</v>
      </c>
      <c r="B116">
        <v>6800</v>
      </c>
      <c r="C116">
        <v>2</v>
      </c>
      <c r="D116">
        <v>1</v>
      </c>
      <c r="E116">
        <v>1</v>
      </c>
      <c r="F116" t="s">
        <v>13</v>
      </c>
      <c r="G116" t="s">
        <v>13</v>
      </c>
      <c r="H116" t="s">
        <v>13</v>
      </c>
      <c r="I116" t="s">
        <v>14</v>
      </c>
      <c r="J116" t="s">
        <v>14</v>
      </c>
      <c r="K116">
        <v>2</v>
      </c>
      <c r="L116" t="s">
        <v>14</v>
      </c>
      <c r="M116" t="s">
        <v>15</v>
      </c>
    </row>
    <row r="117" spans="1:13">
      <c r="A117">
        <v>6020000</v>
      </c>
      <c r="B117">
        <v>8000</v>
      </c>
      <c r="C117">
        <v>3</v>
      </c>
      <c r="D117">
        <v>1</v>
      </c>
      <c r="E117">
        <v>1</v>
      </c>
      <c r="F117" t="s">
        <v>13</v>
      </c>
      <c r="G117" t="s">
        <v>13</v>
      </c>
      <c r="H117" t="s">
        <v>13</v>
      </c>
      <c r="I117" t="s">
        <v>14</v>
      </c>
      <c r="J117" t="s">
        <v>13</v>
      </c>
      <c r="K117">
        <v>2</v>
      </c>
      <c r="L117" t="s">
        <v>13</v>
      </c>
      <c r="M117" t="s">
        <v>16</v>
      </c>
    </row>
    <row r="118" spans="1:13">
      <c r="A118">
        <v>6020000</v>
      </c>
      <c r="B118">
        <v>6900</v>
      </c>
      <c r="C118">
        <v>3</v>
      </c>
      <c r="D118">
        <v>2</v>
      </c>
      <c r="E118">
        <v>1</v>
      </c>
      <c r="F118" t="s">
        <v>13</v>
      </c>
      <c r="G118" t="s">
        <v>13</v>
      </c>
      <c r="H118" t="s">
        <v>13</v>
      </c>
      <c r="I118" t="s">
        <v>14</v>
      </c>
      <c r="J118" t="s">
        <v>14</v>
      </c>
      <c r="K118">
        <v>0</v>
      </c>
      <c r="L118" t="s">
        <v>13</v>
      </c>
      <c r="M118" t="s">
        <v>17</v>
      </c>
    </row>
    <row r="119" spans="1:13">
      <c r="A119">
        <v>5950000</v>
      </c>
      <c r="B119">
        <v>3700</v>
      </c>
      <c r="C119">
        <v>4</v>
      </c>
      <c r="D119">
        <v>1</v>
      </c>
      <c r="E119">
        <v>2</v>
      </c>
      <c r="F119" t="s">
        <v>13</v>
      </c>
      <c r="G119" t="s">
        <v>13</v>
      </c>
      <c r="H119" t="s">
        <v>14</v>
      </c>
      <c r="I119" t="s">
        <v>14</v>
      </c>
      <c r="J119" t="s">
        <v>13</v>
      </c>
      <c r="K119">
        <v>0</v>
      </c>
      <c r="L119" t="s">
        <v>14</v>
      </c>
      <c r="M119" t="s">
        <v>15</v>
      </c>
    </row>
    <row r="120" spans="1:13">
      <c r="A120">
        <v>5950000</v>
      </c>
      <c r="B120">
        <v>6420</v>
      </c>
      <c r="C120">
        <v>3</v>
      </c>
      <c r="D120">
        <v>1</v>
      </c>
      <c r="E120">
        <v>1</v>
      </c>
      <c r="F120" t="s">
        <v>13</v>
      </c>
      <c r="G120" t="s">
        <v>14</v>
      </c>
      <c r="H120" t="s">
        <v>13</v>
      </c>
      <c r="I120" t="s">
        <v>14</v>
      </c>
      <c r="J120" t="s">
        <v>13</v>
      </c>
      <c r="K120">
        <v>0</v>
      </c>
      <c r="L120" t="s">
        <v>13</v>
      </c>
      <c r="M120" t="s">
        <v>15</v>
      </c>
    </row>
    <row r="121" spans="1:13">
      <c r="A121">
        <v>5950000</v>
      </c>
      <c r="B121">
        <v>7020</v>
      </c>
      <c r="C121">
        <v>3</v>
      </c>
      <c r="D121">
        <v>1</v>
      </c>
      <c r="E121">
        <v>1</v>
      </c>
      <c r="F121" t="s">
        <v>13</v>
      </c>
      <c r="G121" t="s">
        <v>14</v>
      </c>
      <c r="H121" t="s">
        <v>13</v>
      </c>
      <c r="I121" t="s">
        <v>14</v>
      </c>
      <c r="J121" t="s">
        <v>13</v>
      </c>
      <c r="K121">
        <v>2</v>
      </c>
      <c r="L121" t="s">
        <v>13</v>
      </c>
      <c r="M121" t="s">
        <v>16</v>
      </c>
    </row>
    <row r="122" spans="1:13">
      <c r="A122">
        <v>5950000</v>
      </c>
      <c r="B122">
        <v>6540</v>
      </c>
      <c r="C122">
        <v>3</v>
      </c>
      <c r="D122">
        <v>1</v>
      </c>
      <c r="E122">
        <v>1</v>
      </c>
      <c r="F122" t="s">
        <v>13</v>
      </c>
      <c r="G122" t="s">
        <v>13</v>
      </c>
      <c r="H122" t="s">
        <v>13</v>
      </c>
      <c r="I122" t="s">
        <v>14</v>
      </c>
      <c r="J122" t="s">
        <v>14</v>
      </c>
      <c r="K122">
        <v>2</v>
      </c>
      <c r="L122" t="s">
        <v>13</v>
      </c>
      <c r="M122" t="s">
        <v>15</v>
      </c>
    </row>
    <row r="123" spans="1:13">
      <c r="A123">
        <v>5950000</v>
      </c>
      <c r="B123">
        <v>7231</v>
      </c>
      <c r="C123">
        <v>3</v>
      </c>
      <c r="D123">
        <v>1</v>
      </c>
      <c r="E123">
        <v>2</v>
      </c>
      <c r="F123" t="s">
        <v>13</v>
      </c>
      <c r="G123" t="s">
        <v>13</v>
      </c>
      <c r="H123" t="s">
        <v>13</v>
      </c>
      <c r="I123" t="s">
        <v>14</v>
      </c>
      <c r="J123" t="s">
        <v>13</v>
      </c>
      <c r="K123">
        <v>0</v>
      </c>
      <c r="L123" t="s">
        <v>13</v>
      </c>
      <c r="M123" t="s">
        <v>16</v>
      </c>
    </row>
    <row r="124" spans="1:13">
      <c r="A124">
        <v>5950000</v>
      </c>
      <c r="B124">
        <v>6254</v>
      </c>
      <c r="C124">
        <v>4</v>
      </c>
      <c r="D124">
        <v>2</v>
      </c>
      <c r="E124">
        <v>1</v>
      </c>
      <c r="F124" t="s">
        <v>13</v>
      </c>
      <c r="G124" t="s">
        <v>14</v>
      </c>
      <c r="H124" t="s">
        <v>13</v>
      </c>
      <c r="I124" t="s">
        <v>14</v>
      </c>
      <c r="J124" t="s">
        <v>14</v>
      </c>
      <c r="K124">
        <v>1</v>
      </c>
      <c r="L124" t="s">
        <v>13</v>
      </c>
      <c r="M124" t="s">
        <v>16</v>
      </c>
    </row>
    <row r="125" spans="1:13">
      <c r="A125">
        <v>5950000</v>
      </c>
      <c r="B125">
        <v>7320</v>
      </c>
      <c r="C125">
        <v>4</v>
      </c>
      <c r="D125">
        <v>2</v>
      </c>
      <c r="E125">
        <v>2</v>
      </c>
      <c r="F125" t="s">
        <v>13</v>
      </c>
      <c r="G125" t="s">
        <v>14</v>
      </c>
      <c r="H125" t="s">
        <v>14</v>
      </c>
      <c r="I125" t="s">
        <v>14</v>
      </c>
      <c r="J125" t="s">
        <v>14</v>
      </c>
      <c r="K125">
        <v>0</v>
      </c>
      <c r="L125" t="s">
        <v>14</v>
      </c>
      <c r="M125" t="s">
        <v>15</v>
      </c>
    </row>
    <row r="126" spans="1:13">
      <c r="A126">
        <v>5950000</v>
      </c>
      <c r="B126">
        <v>6525</v>
      </c>
      <c r="C126">
        <v>3</v>
      </c>
      <c r="D126">
        <v>2</v>
      </c>
      <c r="E126">
        <v>4</v>
      </c>
      <c r="F126" t="s">
        <v>13</v>
      </c>
      <c r="G126" t="s">
        <v>14</v>
      </c>
      <c r="H126" t="s">
        <v>14</v>
      </c>
      <c r="I126" t="s">
        <v>14</v>
      </c>
      <c r="J126" t="s">
        <v>14</v>
      </c>
      <c r="K126">
        <v>1</v>
      </c>
      <c r="L126" t="s">
        <v>14</v>
      </c>
      <c r="M126" t="s">
        <v>15</v>
      </c>
    </row>
    <row r="127" spans="1:13">
      <c r="A127">
        <v>5943000</v>
      </c>
      <c r="B127">
        <v>15600</v>
      </c>
      <c r="C127">
        <v>3</v>
      </c>
      <c r="D127">
        <v>1</v>
      </c>
      <c r="E127">
        <v>1</v>
      </c>
      <c r="F127" t="s">
        <v>13</v>
      </c>
      <c r="G127" t="s">
        <v>14</v>
      </c>
      <c r="H127" t="s">
        <v>14</v>
      </c>
      <c r="I127" t="s">
        <v>14</v>
      </c>
      <c r="J127" t="s">
        <v>13</v>
      </c>
      <c r="K127">
        <v>2</v>
      </c>
      <c r="L127" t="s">
        <v>14</v>
      </c>
      <c r="M127" t="s">
        <v>16</v>
      </c>
    </row>
    <row r="128" spans="1:13">
      <c r="A128">
        <v>5880000</v>
      </c>
      <c r="B128">
        <v>7160</v>
      </c>
      <c r="C128">
        <v>3</v>
      </c>
      <c r="D128">
        <v>1</v>
      </c>
      <c r="E128">
        <v>1</v>
      </c>
      <c r="F128" t="s">
        <v>13</v>
      </c>
      <c r="G128" t="s">
        <v>14</v>
      </c>
      <c r="H128" t="s">
        <v>13</v>
      </c>
      <c r="I128" t="s">
        <v>14</v>
      </c>
      <c r="J128" t="s">
        <v>14</v>
      </c>
      <c r="K128">
        <v>2</v>
      </c>
      <c r="L128" t="s">
        <v>13</v>
      </c>
      <c r="M128" t="s">
        <v>17</v>
      </c>
    </row>
    <row r="129" spans="1:13">
      <c r="A129">
        <v>5880000</v>
      </c>
      <c r="B129">
        <v>6500</v>
      </c>
      <c r="C129">
        <v>3</v>
      </c>
      <c r="D129">
        <v>2</v>
      </c>
      <c r="E129">
        <v>3</v>
      </c>
      <c r="F129" t="s">
        <v>13</v>
      </c>
      <c r="G129" t="s">
        <v>14</v>
      </c>
      <c r="H129" t="s">
        <v>14</v>
      </c>
      <c r="I129" t="s">
        <v>14</v>
      </c>
      <c r="J129" t="s">
        <v>13</v>
      </c>
      <c r="K129">
        <v>0</v>
      </c>
      <c r="L129" t="s">
        <v>14</v>
      </c>
      <c r="M129" t="s">
        <v>17</v>
      </c>
    </row>
    <row r="130" spans="1:13">
      <c r="A130">
        <v>5873000</v>
      </c>
      <c r="B130">
        <v>5500</v>
      </c>
      <c r="C130">
        <v>3</v>
      </c>
      <c r="D130">
        <v>1</v>
      </c>
      <c r="E130">
        <v>3</v>
      </c>
      <c r="F130" t="s">
        <v>13</v>
      </c>
      <c r="G130" t="s">
        <v>13</v>
      </c>
      <c r="H130" t="s">
        <v>14</v>
      </c>
      <c r="I130" t="s">
        <v>14</v>
      </c>
      <c r="J130" t="s">
        <v>13</v>
      </c>
      <c r="K130">
        <v>1</v>
      </c>
      <c r="L130" t="s">
        <v>14</v>
      </c>
      <c r="M130" t="s">
        <v>15</v>
      </c>
    </row>
    <row r="131" spans="1:13">
      <c r="A131">
        <v>5873000</v>
      </c>
      <c r="B131">
        <v>11460</v>
      </c>
      <c r="C131">
        <v>3</v>
      </c>
      <c r="D131">
        <v>1</v>
      </c>
      <c r="E131">
        <v>3</v>
      </c>
      <c r="F131" t="s">
        <v>13</v>
      </c>
      <c r="G131" t="s">
        <v>14</v>
      </c>
      <c r="H131" t="s">
        <v>14</v>
      </c>
      <c r="I131" t="s">
        <v>14</v>
      </c>
      <c r="J131" t="s">
        <v>14</v>
      </c>
      <c r="K131">
        <v>2</v>
      </c>
      <c r="L131" t="s">
        <v>13</v>
      </c>
      <c r="M131" t="s">
        <v>16</v>
      </c>
    </row>
    <row r="132" spans="1:13">
      <c r="A132">
        <v>5866000</v>
      </c>
      <c r="B132">
        <v>4800</v>
      </c>
      <c r="C132">
        <v>3</v>
      </c>
      <c r="D132">
        <v>1</v>
      </c>
      <c r="E132">
        <v>1</v>
      </c>
      <c r="F132" t="s">
        <v>13</v>
      </c>
      <c r="G132" t="s">
        <v>13</v>
      </c>
      <c r="H132" t="s">
        <v>13</v>
      </c>
      <c r="I132" t="s">
        <v>14</v>
      </c>
      <c r="J132" t="s">
        <v>14</v>
      </c>
      <c r="K132">
        <v>0</v>
      </c>
      <c r="L132" t="s">
        <v>14</v>
      </c>
      <c r="M132" t="s">
        <v>17</v>
      </c>
    </row>
    <row r="133" spans="1:13">
      <c r="A133">
        <v>5810000</v>
      </c>
      <c r="B133">
        <v>5828</v>
      </c>
      <c r="C133">
        <v>4</v>
      </c>
      <c r="D133">
        <v>1</v>
      </c>
      <c r="E133">
        <v>4</v>
      </c>
      <c r="F133" t="s">
        <v>13</v>
      </c>
      <c r="G133" t="s">
        <v>13</v>
      </c>
      <c r="H133" t="s">
        <v>14</v>
      </c>
      <c r="I133" t="s">
        <v>14</v>
      </c>
      <c r="J133" t="s">
        <v>14</v>
      </c>
      <c r="K133">
        <v>0</v>
      </c>
      <c r="L133" t="s">
        <v>14</v>
      </c>
      <c r="M133" t="s">
        <v>16</v>
      </c>
    </row>
    <row r="134" spans="1:13">
      <c r="A134">
        <v>5810000</v>
      </c>
      <c r="B134">
        <v>5200</v>
      </c>
      <c r="C134">
        <v>3</v>
      </c>
      <c r="D134">
        <v>1</v>
      </c>
      <c r="E134">
        <v>3</v>
      </c>
      <c r="F134" t="s">
        <v>13</v>
      </c>
      <c r="G134" t="s">
        <v>14</v>
      </c>
      <c r="H134" t="s">
        <v>14</v>
      </c>
      <c r="I134" t="s">
        <v>14</v>
      </c>
      <c r="J134" t="s">
        <v>13</v>
      </c>
      <c r="K134">
        <v>0</v>
      </c>
      <c r="L134" t="s">
        <v>14</v>
      </c>
      <c r="M134" t="s">
        <v>16</v>
      </c>
    </row>
    <row r="135" spans="1:13">
      <c r="A135">
        <v>5810000</v>
      </c>
      <c r="B135">
        <v>4800</v>
      </c>
      <c r="C135">
        <v>3</v>
      </c>
      <c r="D135">
        <v>1</v>
      </c>
      <c r="E135">
        <v>3</v>
      </c>
      <c r="F135" t="s">
        <v>13</v>
      </c>
      <c r="G135" t="s">
        <v>14</v>
      </c>
      <c r="H135" t="s">
        <v>14</v>
      </c>
      <c r="I135" t="s">
        <v>14</v>
      </c>
      <c r="J135" t="s">
        <v>13</v>
      </c>
      <c r="K135">
        <v>0</v>
      </c>
      <c r="L135" t="s">
        <v>14</v>
      </c>
      <c r="M135" t="s">
        <v>17</v>
      </c>
    </row>
    <row r="136" spans="1:13">
      <c r="A136">
        <v>5803000</v>
      </c>
      <c r="B136">
        <v>7000</v>
      </c>
      <c r="C136">
        <v>3</v>
      </c>
      <c r="D136">
        <v>1</v>
      </c>
      <c r="E136">
        <v>1</v>
      </c>
      <c r="F136" t="s">
        <v>13</v>
      </c>
      <c r="G136" t="s">
        <v>14</v>
      </c>
      <c r="H136" t="s">
        <v>13</v>
      </c>
      <c r="I136" t="s">
        <v>14</v>
      </c>
      <c r="J136" t="s">
        <v>14</v>
      </c>
      <c r="K136">
        <v>2</v>
      </c>
      <c r="L136" t="s">
        <v>13</v>
      </c>
      <c r="M136" t="s">
        <v>16</v>
      </c>
    </row>
    <row r="137" spans="1:13">
      <c r="A137">
        <v>5775000</v>
      </c>
      <c r="B137">
        <v>6000</v>
      </c>
      <c r="C137">
        <v>3</v>
      </c>
      <c r="D137">
        <v>2</v>
      </c>
      <c r="E137">
        <v>4</v>
      </c>
      <c r="F137" t="s">
        <v>13</v>
      </c>
      <c r="G137" t="s">
        <v>14</v>
      </c>
      <c r="H137" t="s">
        <v>14</v>
      </c>
      <c r="I137" t="s">
        <v>14</v>
      </c>
      <c r="J137" t="s">
        <v>13</v>
      </c>
      <c r="K137">
        <v>0</v>
      </c>
      <c r="L137" t="s">
        <v>14</v>
      </c>
      <c r="M137" t="s">
        <v>17</v>
      </c>
    </row>
    <row r="138" spans="1:13">
      <c r="A138">
        <v>5740000</v>
      </c>
      <c r="B138">
        <v>5400</v>
      </c>
      <c r="C138">
        <v>4</v>
      </c>
      <c r="D138">
        <v>2</v>
      </c>
      <c r="E138">
        <v>2</v>
      </c>
      <c r="F138" t="s">
        <v>13</v>
      </c>
      <c r="G138" t="s">
        <v>14</v>
      </c>
      <c r="H138" t="s">
        <v>14</v>
      </c>
      <c r="I138" t="s">
        <v>14</v>
      </c>
      <c r="J138" t="s">
        <v>13</v>
      </c>
      <c r="K138">
        <v>2</v>
      </c>
      <c r="L138" t="s">
        <v>14</v>
      </c>
      <c r="M138" t="s">
        <v>17</v>
      </c>
    </row>
    <row r="139" spans="1:13">
      <c r="A139">
        <v>5740000</v>
      </c>
      <c r="B139">
        <v>4640</v>
      </c>
      <c r="C139">
        <v>4</v>
      </c>
      <c r="D139">
        <v>1</v>
      </c>
      <c r="E139">
        <v>2</v>
      </c>
      <c r="F139" t="s">
        <v>13</v>
      </c>
      <c r="G139" t="s">
        <v>14</v>
      </c>
      <c r="H139" t="s">
        <v>14</v>
      </c>
      <c r="I139" t="s">
        <v>14</v>
      </c>
      <c r="J139" t="s">
        <v>14</v>
      </c>
      <c r="K139">
        <v>1</v>
      </c>
      <c r="L139" t="s">
        <v>14</v>
      </c>
      <c r="M139" t="s">
        <v>16</v>
      </c>
    </row>
    <row r="140" spans="1:13">
      <c r="A140">
        <v>5740000</v>
      </c>
      <c r="B140">
        <v>5000</v>
      </c>
      <c r="C140">
        <v>3</v>
      </c>
      <c r="D140">
        <v>1</v>
      </c>
      <c r="E140">
        <v>3</v>
      </c>
      <c r="F140" t="s">
        <v>13</v>
      </c>
      <c r="G140" t="s">
        <v>14</v>
      </c>
      <c r="H140" t="s">
        <v>14</v>
      </c>
      <c r="I140" t="s">
        <v>14</v>
      </c>
      <c r="J140" t="s">
        <v>13</v>
      </c>
      <c r="K140">
        <v>0</v>
      </c>
      <c r="L140" t="s">
        <v>14</v>
      </c>
      <c r="M140" t="s">
        <v>16</v>
      </c>
    </row>
    <row r="141" spans="1:13">
      <c r="A141">
        <v>5740000</v>
      </c>
      <c r="B141">
        <v>6360</v>
      </c>
      <c r="C141">
        <v>3</v>
      </c>
      <c r="D141">
        <v>1</v>
      </c>
      <c r="E141">
        <v>1</v>
      </c>
      <c r="F141" t="s">
        <v>13</v>
      </c>
      <c r="G141" t="s">
        <v>13</v>
      </c>
      <c r="H141" t="s">
        <v>13</v>
      </c>
      <c r="I141" t="s">
        <v>14</v>
      </c>
      <c r="J141" t="s">
        <v>13</v>
      </c>
      <c r="K141">
        <v>2</v>
      </c>
      <c r="L141" t="s">
        <v>13</v>
      </c>
      <c r="M141" t="s">
        <v>15</v>
      </c>
    </row>
    <row r="142" spans="1:13">
      <c r="A142">
        <v>5740000</v>
      </c>
      <c r="B142">
        <v>5800</v>
      </c>
      <c r="C142">
        <v>3</v>
      </c>
      <c r="D142">
        <v>2</v>
      </c>
      <c r="E142">
        <v>4</v>
      </c>
      <c r="F142" t="s">
        <v>13</v>
      </c>
      <c r="G142" t="s">
        <v>14</v>
      </c>
      <c r="H142" t="s">
        <v>14</v>
      </c>
      <c r="I142" t="s">
        <v>14</v>
      </c>
      <c r="J142" t="s">
        <v>13</v>
      </c>
      <c r="K142">
        <v>0</v>
      </c>
      <c r="L142" t="s">
        <v>14</v>
      </c>
      <c r="M142" t="s">
        <v>17</v>
      </c>
    </row>
    <row r="143" spans="1:13">
      <c r="A143">
        <v>5652500</v>
      </c>
      <c r="B143">
        <v>6660</v>
      </c>
      <c r="C143">
        <v>4</v>
      </c>
      <c r="D143">
        <v>2</v>
      </c>
      <c r="E143">
        <v>2</v>
      </c>
      <c r="F143" t="s">
        <v>13</v>
      </c>
      <c r="G143" t="s">
        <v>13</v>
      </c>
      <c r="H143" t="s">
        <v>13</v>
      </c>
      <c r="I143" t="s">
        <v>14</v>
      </c>
      <c r="J143" t="s">
        <v>14</v>
      </c>
      <c r="K143">
        <v>1</v>
      </c>
      <c r="L143" t="s">
        <v>13</v>
      </c>
      <c r="M143" t="s">
        <v>16</v>
      </c>
    </row>
    <row r="144" spans="1:13">
      <c r="A144">
        <v>5600000</v>
      </c>
      <c r="B144">
        <v>10500</v>
      </c>
      <c r="C144">
        <v>4</v>
      </c>
      <c r="D144">
        <v>2</v>
      </c>
      <c r="E144">
        <v>2</v>
      </c>
      <c r="F144" t="s">
        <v>13</v>
      </c>
      <c r="G144" t="s">
        <v>14</v>
      </c>
      <c r="H144" t="s">
        <v>14</v>
      </c>
      <c r="I144" t="s">
        <v>14</v>
      </c>
      <c r="J144" t="s">
        <v>14</v>
      </c>
      <c r="K144">
        <v>1</v>
      </c>
      <c r="L144" t="s">
        <v>14</v>
      </c>
      <c r="M144" t="s">
        <v>16</v>
      </c>
    </row>
    <row r="145" spans="1:13">
      <c r="A145">
        <v>5600000</v>
      </c>
      <c r="B145">
        <v>4800</v>
      </c>
      <c r="C145">
        <v>5</v>
      </c>
      <c r="D145">
        <v>2</v>
      </c>
      <c r="E145">
        <v>3</v>
      </c>
      <c r="F145" t="s">
        <v>14</v>
      </c>
      <c r="G145" t="s">
        <v>14</v>
      </c>
      <c r="H145" t="s">
        <v>13</v>
      </c>
      <c r="I145" t="s">
        <v>13</v>
      </c>
      <c r="J145" t="s">
        <v>14</v>
      </c>
      <c r="K145">
        <v>0</v>
      </c>
      <c r="L145" t="s">
        <v>14</v>
      </c>
      <c r="M145" t="s">
        <v>17</v>
      </c>
    </row>
    <row r="146" spans="1:13">
      <c r="A146">
        <v>5600000</v>
      </c>
      <c r="B146">
        <v>4700</v>
      </c>
      <c r="C146">
        <v>4</v>
      </c>
      <c r="D146">
        <v>1</v>
      </c>
      <c r="E146">
        <v>2</v>
      </c>
      <c r="F146" t="s">
        <v>13</v>
      </c>
      <c r="G146" t="s">
        <v>13</v>
      </c>
      <c r="H146" t="s">
        <v>13</v>
      </c>
      <c r="I146" t="s">
        <v>14</v>
      </c>
      <c r="J146" t="s">
        <v>13</v>
      </c>
      <c r="K146">
        <v>1</v>
      </c>
      <c r="L146" t="s">
        <v>14</v>
      </c>
      <c r="M146" t="s">
        <v>15</v>
      </c>
    </row>
    <row r="147" spans="1:13">
      <c r="A147">
        <v>5600000</v>
      </c>
      <c r="B147">
        <v>5000</v>
      </c>
      <c r="C147">
        <v>3</v>
      </c>
      <c r="D147">
        <v>1</v>
      </c>
      <c r="E147">
        <v>4</v>
      </c>
      <c r="F147" t="s">
        <v>13</v>
      </c>
      <c r="G147" t="s">
        <v>14</v>
      </c>
      <c r="H147" t="s">
        <v>14</v>
      </c>
      <c r="I147" t="s">
        <v>14</v>
      </c>
      <c r="J147" t="s">
        <v>14</v>
      </c>
      <c r="K147">
        <v>0</v>
      </c>
      <c r="L147" t="s">
        <v>14</v>
      </c>
      <c r="M147" t="s">
        <v>15</v>
      </c>
    </row>
    <row r="148" spans="1:13">
      <c r="A148">
        <v>5600000</v>
      </c>
      <c r="B148">
        <v>10500</v>
      </c>
      <c r="C148">
        <v>2</v>
      </c>
      <c r="D148">
        <v>1</v>
      </c>
      <c r="E148">
        <v>1</v>
      </c>
      <c r="F148" t="s">
        <v>13</v>
      </c>
      <c r="G148" t="s">
        <v>14</v>
      </c>
      <c r="H148" t="s">
        <v>14</v>
      </c>
      <c r="I148" t="s">
        <v>14</v>
      </c>
      <c r="J148" t="s">
        <v>14</v>
      </c>
      <c r="K148">
        <v>1</v>
      </c>
      <c r="L148" t="s">
        <v>14</v>
      </c>
      <c r="M148" t="s">
        <v>16</v>
      </c>
    </row>
    <row r="149" spans="1:13">
      <c r="A149">
        <v>5600000</v>
      </c>
      <c r="B149">
        <v>5500</v>
      </c>
      <c r="C149">
        <v>3</v>
      </c>
      <c r="D149">
        <v>2</v>
      </c>
      <c r="E149">
        <v>2</v>
      </c>
      <c r="F149" t="s">
        <v>13</v>
      </c>
      <c r="G149" t="s">
        <v>14</v>
      </c>
      <c r="H149" t="s">
        <v>14</v>
      </c>
      <c r="I149" t="s">
        <v>14</v>
      </c>
      <c r="J149" t="s">
        <v>14</v>
      </c>
      <c r="K149">
        <v>1</v>
      </c>
      <c r="L149" t="s">
        <v>14</v>
      </c>
      <c r="M149" t="s">
        <v>16</v>
      </c>
    </row>
    <row r="150" spans="1:13">
      <c r="A150">
        <v>5600000</v>
      </c>
      <c r="B150">
        <v>6360</v>
      </c>
      <c r="C150">
        <v>3</v>
      </c>
      <c r="D150">
        <v>1</v>
      </c>
      <c r="E150">
        <v>3</v>
      </c>
      <c r="F150" t="s">
        <v>13</v>
      </c>
      <c r="G150" t="s">
        <v>14</v>
      </c>
      <c r="H150" t="s">
        <v>14</v>
      </c>
      <c r="I150" t="s">
        <v>14</v>
      </c>
      <c r="J150" t="s">
        <v>14</v>
      </c>
      <c r="K150">
        <v>0</v>
      </c>
      <c r="L150" t="s">
        <v>13</v>
      </c>
      <c r="M150" t="s">
        <v>16</v>
      </c>
    </row>
    <row r="151" spans="1:13">
      <c r="A151">
        <v>5600000</v>
      </c>
      <c r="B151">
        <v>6600</v>
      </c>
      <c r="C151">
        <v>4</v>
      </c>
      <c r="D151">
        <v>2</v>
      </c>
      <c r="E151">
        <v>1</v>
      </c>
      <c r="F151" t="s">
        <v>13</v>
      </c>
      <c r="G151" t="s">
        <v>14</v>
      </c>
      <c r="H151" t="s">
        <v>13</v>
      </c>
      <c r="I151" t="s">
        <v>14</v>
      </c>
      <c r="J151" t="s">
        <v>14</v>
      </c>
      <c r="K151">
        <v>0</v>
      </c>
      <c r="L151" t="s">
        <v>13</v>
      </c>
      <c r="M151" t="s">
        <v>16</v>
      </c>
    </row>
    <row r="152" spans="1:13">
      <c r="A152">
        <v>5600000</v>
      </c>
      <c r="B152">
        <v>5136</v>
      </c>
      <c r="C152">
        <v>3</v>
      </c>
      <c r="D152">
        <v>1</v>
      </c>
      <c r="E152">
        <v>2</v>
      </c>
      <c r="F152" t="s">
        <v>13</v>
      </c>
      <c r="G152" t="s">
        <v>13</v>
      </c>
      <c r="H152" t="s">
        <v>13</v>
      </c>
      <c r="I152" t="s">
        <v>14</v>
      </c>
      <c r="J152" t="s">
        <v>13</v>
      </c>
      <c r="K152">
        <v>0</v>
      </c>
      <c r="L152" t="s">
        <v>13</v>
      </c>
      <c r="M152" t="s">
        <v>17</v>
      </c>
    </row>
    <row r="153" spans="1:13">
      <c r="A153">
        <v>5565000</v>
      </c>
      <c r="B153">
        <v>4400</v>
      </c>
      <c r="C153">
        <v>4</v>
      </c>
      <c r="D153">
        <v>1</v>
      </c>
      <c r="E153">
        <v>2</v>
      </c>
      <c r="F153" t="s">
        <v>13</v>
      </c>
      <c r="G153" t="s">
        <v>14</v>
      </c>
      <c r="H153" t="s">
        <v>14</v>
      </c>
      <c r="I153" t="s">
        <v>14</v>
      </c>
      <c r="J153" t="s">
        <v>13</v>
      </c>
      <c r="K153">
        <v>2</v>
      </c>
      <c r="L153" t="s">
        <v>13</v>
      </c>
      <c r="M153" t="s">
        <v>16</v>
      </c>
    </row>
    <row r="154" spans="1:13">
      <c r="A154">
        <v>5565000</v>
      </c>
      <c r="B154">
        <v>5400</v>
      </c>
      <c r="C154">
        <v>5</v>
      </c>
      <c r="D154">
        <v>1</v>
      </c>
      <c r="E154">
        <v>2</v>
      </c>
      <c r="F154" t="s">
        <v>13</v>
      </c>
      <c r="G154" t="s">
        <v>13</v>
      </c>
      <c r="H154" t="s">
        <v>13</v>
      </c>
      <c r="I154" t="s">
        <v>14</v>
      </c>
      <c r="J154" t="s">
        <v>13</v>
      </c>
      <c r="K154">
        <v>0</v>
      </c>
      <c r="L154" t="s">
        <v>13</v>
      </c>
      <c r="M154" t="s">
        <v>15</v>
      </c>
    </row>
    <row r="155" spans="1:13">
      <c r="A155">
        <v>5530000</v>
      </c>
      <c r="B155">
        <v>3300</v>
      </c>
      <c r="C155">
        <v>3</v>
      </c>
      <c r="D155">
        <v>3</v>
      </c>
      <c r="E155">
        <v>2</v>
      </c>
      <c r="F155" t="s">
        <v>13</v>
      </c>
      <c r="G155" t="s">
        <v>14</v>
      </c>
      <c r="H155" t="s">
        <v>13</v>
      </c>
      <c r="I155" t="s">
        <v>14</v>
      </c>
      <c r="J155" t="s">
        <v>14</v>
      </c>
      <c r="K155">
        <v>0</v>
      </c>
      <c r="L155" t="s">
        <v>14</v>
      </c>
      <c r="M155" t="s">
        <v>16</v>
      </c>
    </row>
    <row r="156" spans="1:13">
      <c r="A156">
        <v>5530000</v>
      </c>
      <c r="B156">
        <v>3650</v>
      </c>
      <c r="C156">
        <v>3</v>
      </c>
      <c r="D156">
        <v>2</v>
      </c>
      <c r="E156">
        <v>2</v>
      </c>
      <c r="F156" t="s">
        <v>13</v>
      </c>
      <c r="G156" t="s">
        <v>14</v>
      </c>
      <c r="H156" t="s">
        <v>14</v>
      </c>
      <c r="I156" t="s">
        <v>14</v>
      </c>
      <c r="J156" t="s">
        <v>14</v>
      </c>
      <c r="K156">
        <v>2</v>
      </c>
      <c r="L156" t="s">
        <v>14</v>
      </c>
      <c r="M156" t="s">
        <v>16</v>
      </c>
    </row>
    <row r="157" spans="1:13">
      <c r="A157">
        <v>5530000</v>
      </c>
      <c r="B157">
        <v>6100</v>
      </c>
      <c r="C157">
        <v>3</v>
      </c>
      <c r="D157">
        <v>2</v>
      </c>
      <c r="E157">
        <v>1</v>
      </c>
      <c r="F157" t="s">
        <v>13</v>
      </c>
      <c r="G157" t="s">
        <v>14</v>
      </c>
      <c r="H157" t="s">
        <v>13</v>
      </c>
      <c r="I157" t="s">
        <v>14</v>
      </c>
      <c r="J157" t="s">
        <v>14</v>
      </c>
      <c r="K157">
        <v>2</v>
      </c>
      <c r="L157" t="s">
        <v>13</v>
      </c>
      <c r="M157" t="s">
        <v>15</v>
      </c>
    </row>
    <row r="158" spans="1:13">
      <c r="A158">
        <v>5523000</v>
      </c>
      <c r="B158">
        <v>6900</v>
      </c>
      <c r="C158">
        <v>3</v>
      </c>
      <c r="D158">
        <v>1</v>
      </c>
      <c r="E158">
        <v>1</v>
      </c>
      <c r="F158" t="s">
        <v>13</v>
      </c>
      <c r="G158" t="s">
        <v>13</v>
      </c>
      <c r="H158" t="s">
        <v>13</v>
      </c>
      <c r="I158" t="s">
        <v>14</v>
      </c>
      <c r="J158" t="s">
        <v>14</v>
      </c>
      <c r="K158">
        <v>0</v>
      </c>
      <c r="L158" t="s">
        <v>13</v>
      </c>
      <c r="M158" t="s">
        <v>16</v>
      </c>
    </row>
    <row r="159" spans="1:13">
      <c r="A159">
        <v>5495000</v>
      </c>
      <c r="B159">
        <v>2817</v>
      </c>
      <c r="C159">
        <v>4</v>
      </c>
      <c r="D159">
        <v>2</v>
      </c>
      <c r="E159">
        <v>2</v>
      </c>
      <c r="F159" t="s">
        <v>14</v>
      </c>
      <c r="G159" t="s">
        <v>13</v>
      </c>
      <c r="H159" t="s">
        <v>13</v>
      </c>
      <c r="I159" t="s">
        <v>14</v>
      </c>
      <c r="J159" t="s">
        <v>14</v>
      </c>
      <c r="K159">
        <v>1</v>
      </c>
      <c r="L159" t="s">
        <v>14</v>
      </c>
      <c r="M159" t="s">
        <v>15</v>
      </c>
    </row>
    <row r="160" spans="1:13">
      <c r="A160">
        <v>5495000</v>
      </c>
      <c r="B160">
        <v>7980</v>
      </c>
      <c r="C160">
        <v>3</v>
      </c>
      <c r="D160">
        <v>1</v>
      </c>
      <c r="E160">
        <v>1</v>
      </c>
      <c r="F160" t="s">
        <v>13</v>
      </c>
      <c r="G160" t="s">
        <v>14</v>
      </c>
      <c r="H160" t="s">
        <v>14</v>
      </c>
      <c r="I160" t="s">
        <v>14</v>
      </c>
      <c r="J160" t="s">
        <v>14</v>
      </c>
      <c r="K160">
        <v>2</v>
      </c>
      <c r="L160" t="s">
        <v>14</v>
      </c>
      <c r="M160" t="s">
        <v>16</v>
      </c>
    </row>
    <row r="161" spans="1:13">
      <c r="A161">
        <v>5460000</v>
      </c>
      <c r="B161">
        <v>3150</v>
      </c>
      <c r="C161">
        <v>3</v>
      </c>
      <c r="D161">
        <v>2</v>
      </c>
      <c r="E161">
        <v>1</v>
      </c>
      <c r="F161" t="s">
        <v>13</v>
      </c>
      <c r="G161" t="s">
        <v>13</v>
      </c>
      <c r="H161" t="s">
        <v>13</v>
      </c>
      <c r="I161" t="s">
        <v>14</v>
      </c>
      <c r="J161" t="s">
        <v>13</v>
      </c>
      <c r="K161">
        <v>0</v>
      </c>
      <c r="L161" t="s">
        <v>14</v>
      </c>
      <c r="M161" t="s">
        <v>15</v>
      </c>
    </row>
    <row r="162" spans="1:13">
      <c r="A162">
        <v>5460000</v>
      </c>
      <c r="B162">
        <v>6210</v>
      </c>
      <c r="C162">
        <v>4</v>
      </c>
      <c r="D162">
        <v>1</v>
      </c>
      <c r="E162">
        <v>4</v>
      </c>
      <c r="F162" t="s">
        <v>13</v>
      </c>
      <c r="G162" t="s">
        <v>13</v>
      </c>
      <c r="H162" t="s">
        <v>14</v>
      </c>
      <c r="I162" t="s">
        <v>14</v>
      </c>
      <c r="J162" t="s">
        <v>13</v>
      </c>
      <c r="K162">
        <v>0</v>
      </c>
      <c r="L162" t="s">
        <v>14</v>
      </c>
      <c r="M162" t="s">
        <v>15</v>
      </c>
    </row>
    <row r="163" spans="1:13">
      <c r="A163">
        <v>5460000</v>
      </c>
      <c r="B163">
        <v>6100</v>
      </c>
      <c r="C163">
        <v>3</v>
      </c>
      <c r="D163">
        <v>1</v>
      </c>
      <c r="E163">
        <v>3</v>
      </c>
      <c r="F163" t="s">
        <v>13</v>
      </c>
      <c r="G163" t="s">
        <v>13</v>
      </c>
      <c r="H163" t="s">
        <v>14</v>
      </c>
      <c r="I163" t="s">
        <v>14</v>
      </c>
      <c r="J163" t="s">
        <v>13</v>
      </c>
      <c r="K163">
        <v>0</v>
      </c>
      <c r="L163" t="s">
        <v>13</v>
      </c>
      <c r="M163" t="s">
        <v>16</v>
      </c>
    </row>
    <row r="164" spans="1:13">
      <c r="A164">
        <v>5460000</v>
      </c>
      <c r="B164">
        <v>6600</v>
      </c>
      <c r="C164">
        <v>4</v>
      </c>
      <c r="D164">
        <v>2</v>
      </c>
      <c r="E164">
        <v>2</v>
      </c>
      <c r="F164" t="s">
        <v>13</v>
      </c>
      <c r="G164" t="s">
        <v>13</v>
      </c>
      <c r="H164" t="s">
        <v>13</v>
      </c>
      <c r="I164" t="s">
        <v>14</v>
      </c>
      <c r="J164" t="s">
        <v>14</v>
      </c>
      <c r="K164">
        <v>0</v>
      </c>
      <c r="L164" t="s">
        <v>13</v>
      </c>
      <c r="M164" t="s">
        <v>16</v>
      </c>
    </row>
    <row r="165" spans="1:13">
      <c r="A165">
        <v>5425000</v>
      </c>
      <c r="B165">
        <v>6825</v>
      </c>
      <c r="C165">
        <v>3</v>
      </c>
      <c r="D165">
        <v>1</v>
      </c>
      <c r="E165">
        <v>1</v>
      </c>
      <c r="F165" t="s">
        <v>13</v>
      </c>
      <c r="G165" t="s">
        <v>13</v>
      </c>
      <c r="H165" t="s">
        <v>13</v>
      </c>
      <c r="I165" t="s">
        <v>14</v>
      </c>
      <c r="J165" t="s">
        <v>13</v>
      </c>
      <c r="K165">
        <v>0</v>
      </c>
      <c r="L165" t="s">
        <v>13</v>
      </c>
      <c r="M165" t="s">
        <v>16</v>
      </c>
    </row>
    <row r="166" spans="1:13">
      <c r="A166">
        <v>5390000</v>
      </c>
      <c r="B166">
        <v>6710</v>
      </c>
      <c r="C166">
        <v>3</v>
      </c>
      <c r="D166">
        <v>2</v>
      </c>
      <c r="E166">
        <v>2</v>
      </c>
      <c r="F166" t="s">
        <v>13</v>
      </c>
      <c r="G166" t="s">
        <v>13</v>
      </c>
      <c r="H166" t="s">
        <v>13</v>
      </c>
      <c r="I166" t="s">
        <v>14</v>
      </c>
      <c r="J166" t="s">
        <v>14</v>
      </c>
      <c r="K166">
        <v>1</v>
      </c>
      <c r="L166" t="s">
        <v>13</v>
      </c>
      <c r="M166" t="s">
        <v>15</v>
      </c>
    </row>
    <row r="167" spans="1:13">
      <c r="A167">
        <v>5383000</v>
      </c>
      <c r="B167">
        <v>6450</v>
      </c>
      <c r="C167">
        <v>3</v>
      </c>
      <c r="D167">
        <v>2</v>
      </c>
      <c r="E167">
        <v>1</v>
      </c>
      <c r="F167" t="s">
        <v>13</v>
      </c>
      <c r="G167" t="s">
        <v>13</v>
      </c>
      <c r="H167" t="s">
        <v>13</v>
      </c>
      <c r="I167" t="s">
        <v>13</v>
      </c>
      <c r="J167" t="s">
        <v>14</v>
      </c>
      <c r="K167">
        <v>0</v>
      </c>
      <c r="L167" t="s">
        <v>14</v>
      </c>
      <c r="M167" t="s">
        <v>17</v>
      </c>
    </row>
    <row r="168" spans="1:13">
      <c r="A168">
        <v>5320000</v>
      </c>
      <c r="B168">
        <v>7800</v>
      </c>
      <c r="C168">
        <v>3</v>
      </c>
      <c r="D168">
        <v>1</v>
      </c>
      <c r="E168">
        <v>1</v>
      </c>
      <c r="F168" t="s">
        <v>13</v>
      </c>
      <c r="G168" t="s">
        <v>14</v>
      </c>
      <c r="H168" t="s">
        <v>13</v>
      </c>
      <c r="I168" t="s">
        <v>14</v>
      </c>
      <c r="J168" t="s">
        <v>13</v>
      </c>
      <c r="K168">
        <v>2</v>
      </c>
      <c r="L168" t="s">
        <v>13</v>
      </c>
      <c r="M168" t="s">
        <v>17</v>
      </c>
    </row>
    <row r="169" spans="1:13">
      <c r="A169">
        <v>5285000</v>
      </c>
      <c r="B169">
        <v>4600</v>
      </c>
      <c r="C169">
        <v>2</v>
      </c>
      <c r="D169">
        <v>2</v>
      </c>
      <c r="E169">
        <v>1</v>
      </c>
      <c r="F169" t="s">
        <v>13</v>
      </c>
      <c r="G169" t="s">
        <v>14</v>
      </c>
      <c r="H169" t="s">
        <v>14</v>
      </c>
      <c r="I169" t="s">
        <v>14</v>
      </c>
      <c r="J169" t="s">
        <v>13</v>
      </c>
      <c r="K169">
        <v>2</v>
      </c>
      <c r="L169" t="s">
        <v>14</v>
      </c>
      <c r="M169" t="s">
        <v>16</v>
      </c>
    </row>
    <row r="170" spans="1:13">
      <c r="A170">
        <v>5250000</v>
      </c>
      <c r="B170">
        <v>4260</v>
      </c>
      <c r="C170">
        <v>4</v>
      </c>
      <c r="D170">
        <v>1</v>
      </c>
      <c r="E170">
        <v>2</v>
      </c>
      <c r="F170" t="s">
        <v>13</v>
      </c>
      <c r="G170" t="s">
        <v>14</v>
      </c>
      <c r="H170" t="s">
        <v>13</v>
      </c>
      <c r="I170" t="s">
        <v>14</v>
      </c>
      <c r="J170" t="s">
        <v>13</v>
      </c>
      <c r="K170">
        <v>0</v>
      </c>
      <c r="L170" t="s">
        <v>14</v>
      </c>
      <c r="M170" t="s">
        <v>15</v>
      </c>
    </row>
    <row r="171" spans="1:13">
      <c r="A171">
        <v>5250000</v>
      </c>
      <c r="B171">
        <v>6540</v>
      </c>
      <c r="C171">
        <v>4</v>
      </c>
      <c r="D171">
        <v>2</v>
      </c>
      <c r="E171">
        <v>2</v>
      </c>
      <c r="F171" t="s">
        <v>14</v>
      </c>
      <c r="G171" t="s">
        <v>14</v>
      </c>
      <c r="H171" t="s">
        <v>14</v>
      </c>
      <c r="I171" t="s">
        <v>14</v>
      </c>
      <c r="J171" t="s">
        <v>13</v>
      </c>
      <c r="K171">
        <v>0</v>
      </c>
      <c r="L171" t="s">
        <v>14</v>
      </c>
      <c r="M171" t="s">
        <v>16</v>
      </c>
    </row>
    <row r="172" spans="1:13">
      <c r="A172">
        <v>5250000</v>
      </c>
      <c r="B172">
        <v>5500</v>
      </c>
      <c r="C172">
        <v>3</v>
      </c>
      <c r="D172">
        <v>2</v>
      </c>
      <c r="E172">
        <v>1</v>
      </c>
      <c r="F172" t="s">
        <v>13</v>
      </c>
      <c r="G172" t="s">
        <v>14</v>
      </c>
      <c r="H172" t="s">
        <v>13</v>
      </c>
      <c r="I172" t="s">
        <v>14</v>
      </c>
      <c r="J172" t="s">
        <v>14</v>
      </c>
      <c r="K172">
        <v>0</v>
      </c>
      <c r="L172" t="s">
        <v>14</v>
      </c>
      <c r="M172" t="s">
        <v>16</v>
      </c>
    </row>
    <row r="173" spans="1:13">
      <c r="A173">
        <v>5250000</v>
      </c>
      <c r="B173">
        <v>10269</v>
      </c>
      <c r="C173">
        <v>3</v>
      </c>
      <c r="D173">
        <v>1</v>
      </c>
      <c r="E173">
        <v>1</v>
      </c>
      <c r="F173" t="s">
        <v>13</v>
      </c>
      <c r="G173" t="s">
        <v>14</v>
      </c>
      <c r="H173" t="s">
        <v>14</v>
      </c>
      <c r="I173" t="s">
        <v>14</v>
      </c>
      <c r="J173" t="s">
        <v>14</v>
      </c>
      <c r="K173">
        <v>1</v>
      </c>
      <c r="L173" t="s">
        <v>13</v>
      </c>
      <c r="M173" t="s">
        <v>16</v>
      </c>
    </row>
    <row r="174" spans="1:13">
      <c r="A174">
        <v>5250000</v>
      </c>
      <c r="B174">
        <v>8400</v>
      </c>
      <c r="C174">
        <v>3</v>
      </c>
      <c r="D174">
        <v>1</v>
      </c>
      <c r="E174">
        <v>2</v>
      </c>
      <c r="F174" t="s">
        <v>13</v>
      </c>
      <c r="G174" t="s">
        <v>13</v>
      </c>
      <c r="H174" t="s">
        <v>13</v>
      </c>
      <c r="I174" t="s">
        <v>14</v>
      </c>
      <c r="J174" t="s">
        <v>13</v>
      </c>
      <c r="K174">
        <v>2</v>
      </c>
      <c r="L174" t="s">
        <v>13</v>
      </c>
      <c r="M174" t="s">
        <v>17</v>
      </c>
    </row>
    <row r="175" spans="1:13">
      <c r="A175">
        <v>5250000</v>
      </c>
      <c r="B175">
        <v>5300</v>
      </c>
      <c r="C175">
        <v>4</v>
      </c>
      <c r="D175">
        <v>2</v>
      </c>
      <c r="E175">
        <v>1</v>
      </c>
      <c r="F175" t="s">
        <v>13</v>
      </c>
      <c r="G175" t="s">
        <v>14</v>
      </c>
      <c r="H175" t="s">
        <v>14</v>
      </c>
      <c r="I175" t="s">
        <v>14</v>
      </c>
      <c r="J175" t="s">
        <v>13</v>
      </c>
      <c r="K175">
        <v>0</v>
      </c>
      <c r="L175" t="s">
        <v>13</v>
      </c>
      <c r="M175" t="s">
        <v>17</v>
      </c>
    </row>
    <row r="176" spans="1:13">
      <c r="A176">
        <v>5250000</v>
      </c>
      <c r="B176">
        <v>3800</v>
      </c>
      <c r="C176">
        <v>3</v>
      </c>
      <c r="D176">
        <v>1</v>
      </c>
      <c r="E176">
        <v>2</v>
      </c>
      <c r="F176" t="s">
        <v>13</v>
      </c>
      <c r="G176" t="s">
        <v>13</v>
      </c>
      <c r="H176" t="s">
        <v>13</v>
      </c>
      <c r="I176" t="s">
        <v>14</v>
      </c>
      <c r="J176" t="s">
        <v>14</v>
      </c>
      <c r="K176">
        <v>1</v>
      </c>
      <c r="L176" t="s">
        <v>13</v>
      </c>
      <c r="M176" t="s">
        <v>17</v>
      </c>
    </row>
    <row r="177" spans="1:13">
      <c r="A177">
        <v>5250000</v>
      </c>
      <c r="B177">
        <v>9800</v>
      </c>
      <c r="C177">
        <v>4</v>
      </c>
      <c r="D177">
        <v>2</v>
      </c>
      <c r="E177">
        <v>2</v>
      </c>
      <c r="F177" t="s">
        <v>13</v>
      </c>
      <c r="G177" t="s">
        <v>13</v>
      </c>
      <c r="H177" t="s">
        <v>14</v>
      </c>
      <c r="I177" t="s">
        <v>14</v>
      </c>
      <c r="J177" t="s">
        <v>14</v>
      </c>
      <c r="K177">
        <v>2</v>
      </c>
      <c r="L177" t="s">
        <v>14</v>
      </c>
      <c r="M177" t="s">
        <v>16</v>
      </c>
    </row>
    <row r="178" spans="1:13">
      <c r="A178">
        <v>5250000</v>
      </c>
      <c r="B178">
        <v>8520</v>
      </c>
      <c r="C178">
        <v>3</v>
      </c>
      <c r="D178">
        <v>1</v>
      </c>
      <c r="E178">
        <v>1</v>
      </c>
      <c r="F178" t="s">
        <v>13</v>
      </c>
      <c r="G178" t="s">
        <v>14</v>
      </c>
      <c r="H178" t="s">
        <v>14</v>
      </c>
      <c r="I178" t="s">
        <v>14</v>
      </c>
      <c r="J178" t="s">
        <v>13</v>
      </c>
      <c r="K178">
        <v>2</v>
      </c>
      <c r="L178" t="s">
        <v>14</v>
      </c>
      <c r="M178" t="s">
        <v>15</v>
      </c>
    </row>
    <row r="179" spans="1:13">
      <c r="A179">
        <v>5243000</v>
      </c>
      <c r="B179">
        <v>6050</v>
      </c>
      <c r="C179">
        <v>3</v>
      </c>
      <c r="D179">
        <v>1</v>
      </c>
      <c r="E179">
        <v>1</v>
      </c>
      <c r="F179" t="s">
        <v>13</v>
      </c>
      <c r="G179" t="s">
        <v>14</v>
      </c>
      <c r="H179" t="s">
        <v>13</v>
      </c>
      <c r="I179" t="s">
        <v>14</v>
      </c>
      <c r="J179" t="s">
        <v>14</v>
      </c>
      <c r="K179">
        <v>0</v>
      </c>
      <c r="L179" t="s">
        <v>13</v>
      </c>
      <c r="M179" t="s">
        <v>16</v>
      </c>
    </row>
    <row r="180" spans="1:13">
      <c r="A180">
        <v>5229000</v>
      </c>
      <c r="B180">
        <v>7085</v>
      </c>
      <c r="C180">
        <v>3</v>
      </c>
      <c r="D180">
        <v>1</v>
      </c>
      <c r="E180">
        <v>1</v>
      </c>
      <c r="F180" t="s">
        <v>13</v>
      </c>
      <c r="G180" t="s">
        <v>13</v>
      </c>
      <c r="H180" t="s">
        <v>13</v>
      </c>
      <c r="I180" t="s">
        <v>14</v>
      </c>
      <c r="J180" t="s">
        <v>14</v>
      </c>
      <c r="K180">
        <v>2</v>
      </c>
      <c r="L180" t="s">
        <v>13</v>
      </c>
      <c r="M180" t="s">
        <v>16</v>
      </c>
    </row>
    <row r="181" spans="1:13">
      <c r="A181">
        <v>5215000</v>
      </c>
      <c r="B181">
        <v>3180</v>
      </c>
      <c r="C181">
        <v>3</v>
      </c>
      <c r="D181">
        <v>2</v>
      </c>
      <c r="E181">
        <v>2</v>
      </c>
      <c r="F181" t="s">
        <v>13</v>
      </c>
      <c r="G181" t="s">
        <v>14</v>
      </c>
      <c r="H181" t="s">
        <v>14</v>
      </c>
      <c r="I181" t="s">
        <v>14</v>
      </c>
      <c r="J181" t="s">
        <v>14</v>
      </c>
      <c r="K181">
        <v>2</v>
      </c>
      <c r="L181" t="s">
        <v>14</v>
      </c>
      <c r="M181" t="s">
        <v>16</v>
      </c>
    </row>
    <row r="182" spans="1:13">
      <c r="A182">
        <v>5215000</v>
      </c>
      <c r="B182">
        <v>4500</v>
      </c>
      <c r="C182">
        <v>4</v>
      </c>
      <c r="D182">
        <v>2</v>
      </c>
      <c r="E182">
        <v>1</v>
      </c>
      <c r="F182" t="s">
        <v>14</v>
      </c>
      <c r="G182" t="s">
        <v>14</v>
      </c>
      <c r="H182" t="s">
        <v>13</v>
      </c>
      <c r="I182" t="s">
        <v>14</v>
      </c>
      <c r="J182" t="s">
        <v>13</v>
      </c>
      <c r="K182">
        <v>2</v>
      </c>
      <c r="L182" t="s">
        <v>14</v>
      </c>
      <c r="M182" t="s">
        <v>16</v>
      </c>
    </row>
    <row r="183" spans="1:13">
      <c r="A183">
        <v>5215000</v>
      </c>
      <c r="B183">
        <v>7200</v>
      </c>
      <c r="C183">
        <v>3</v>
      </c>
      <c r="D183">
        <v>1</v>
      </c>
      <c r="E183">
        <v>2</v>
      </c>
      <c r="F183" t="s">
        <v>13</v>
      </c>
      <c r="G183" t="s">
        <v>13</v>
      </c>
      <c r="H183" t="s">
        <v>13</v>
      </c>
      <c r="I183" t="s">
        <v>14</v>
      </c>
      <c r="J183" t="s">
        <v>14</v>
      </c>
      <c r="K183">
        <v>1</v>
      </c>
      <c r="L183" t="s">
        <v>13</v>
      </c>
      <c r="M183" t="s">
        <v>15</v>
      </c>
    </row>
    <row r="184" spans="1:13">
      <c r="A184">
        <v>5145000</v>
      </c>
      <c r="B184">
        <v>3410</v>
      </c>
      <c r="C184">
        <v>3</v>
      </c>
      <c r="D184">
        <v>1</v>
      </c>
      <c r="E184">
        <v>2</v>
      </c>
      <c r="F184" t="s">
        <v>14</v>
      </c>
      <c r="G184" t="s">
        <v>14</v>
      </c>
      <c r="H184" t="s">
        <v>14</v>
      </c>
      <c r="I184" t="s">
        <v>14</v>
      </c>
      <c r="J184" t="s">
        <v>13</v>
      </c>
      <c r="K184">
        <v>0</v>
      </c>
      <c r="L184" t="s">
        <v>14</v>
      </c>
      <c r="M184" t="s">
        <v>16</v>
      </c>
    </row>
    <row r="185" spans="1:13">
      <c r="A185">
        <v>5145000</v>
      </c>
      <c r="B185">
        <v>7980</v>
      </c>
      <c r="C185">
        <v>3</v>
      </c>
      <c r="D185">
        <v>1</v>
      </c>
      <c r="E185">
        <v>1</v>
      </c>
      <c r="F185" t="s">
        <v>13</v>
      </c>
      <c r="G185" t="s">
        <v>14</v>
      </c>
      <c r="H185" t="s">
        <v>14</v>
      </c>
      <c r="I185" t="s">
        <v>14</v>
      </c>
      <c r="J185" t="s">
        <v>14</v>
      </c>
      <c r="K185">
        <v>1</v>
      </c>
      <c r="L185" t="s">
        <v>13</v>
      </c>
      <c r="M185" t="s">
        <v>16</v>
      </c>
    </row>
    <row r="186" spans="1:13">
      <c r="A186">
        <v>5110000</v>
      </c>
      <c r="B186">
        <v>3000</v>
      </c>
      <c r="C186">
        <v>3</v>
      </c>
      <c r="D186">
        <v>2</v>
      </c>
      <c r="E186">
        <v>2</v>
      </c>
      <c r="F186" t="s">
        <v>13</v>
      </c>
      <c r="G186" t="s">
        <v>13</v>
      </c>
      <c r="H186" t="s">
        <v>13</v>
      </c>
      <c r="I186" t="s">
        <v>14</v>
      </c>
      <c r="J186" t="s">
        <v>14</v>
      </c>
      <c r="K186">
        <v>0</v>
      </c>
      <c r="L186" t="s">
        <v>14</v>
      </c>
      <c r="M186" t="s">
        <v>15</v>
      </c>
    </row>
    <row r="187" spans="1:13">
      <c r="A187">
        <v>5110000</v>
      </c>
      <c r="B187">
        <v>3000</v>
      </c>
      <c r="C187">
        <v>3</v>
      </c>
      <c r="D187">
        <v>1</v>
      </c>
      <c r="E187">
        <v>2</v>
      </c>
      <c r="F187" t="s">
        <v>13</v>
      </c>
      <c r="G187" t="s">
        <v>14</v>
      </c>
      <c r="H187" t="s">
        <v>13</v>
      </c>
      <c r="I187" t="s">
        <v>14</v>
      </c>
      <c r="J187" t="s">
        <v>14</v>
      </c>
      <c r="K187">
        <v>0</v>
      </c>
      <c r="L187" t="s">
        <v>14</v>
      </c>
      <c r="M187" t="s">
        <v>17</v>
      </c>
    </row>
    <row r="188" spans="1:13">
      <c r="A188">
        <v>5110000</v>
      </c>
      <c r="B188">
        <v>11410</v>
      </c>
      <c r="C188">
        <v>2</v>
      </c>
      <c r="D188">
        <v>1</v>
      </c>
      <c r="E188">
        <v>2</v>
      </c>
      <c r="F188" t="s">
        <v>13</v>
      </c>
      <c r="G188" t="s">
        <v>14</v>
      </c>
      <c r="H188" t="s">
        <v>14</v>
      </c>
      <c r="I188" t="s">
        <v>14</v>
      </c>
      <c r="J188" t="s">
        <v>14</v>
      </c>
      <c r="K188">
        <v>0</v>
      </c>
      <c r="L188" t="s">
        <v>13</v>
      </c>
      <c r="M188" t="s">
        <v>15</v>
      </c>
    </row>
    <row r="189" spans="1:13">
      <c r="A189">
        <v>5110000</v>
      </c>
      <c r="B189">
        <v>6100</v>
      </c>
      <c r="C189">
        <v>3</v>
      </c>
      <c r="D189">
        <v>1</v>
      </c>
      <c r="E189">
        <v>1</v>
      </c>
      <c r="F189" t="s">
        <v>13</v>
      </c>
      <c r="G189" t="s">
        <v>14</v>
      </c>
      <c r="H189" t="s">
        <v>13</v>
      </c>
      <c r="I189" t="s">
        <v>14</v>
      </c>
      <c r="J189" t="s">
        <v>13</v>
      </c>
      <c r="K189">
        <v>0</v>
      </c>
      <c r="L189" t="s">
        <v>13</v>
      </c>
      <c r="M189" t="s">
        <v>16</v>
      </c>
    </row>
    <row r="190" spans="1:13">
      <c r="A190">
        <v>5075000</v>
      </c>
      <c r="B190">
        <v>5720</v>
      </c>
      <c r="C190">
        <v>2</v>
      </c>
      <c r="D190">
        <v>1</v>
      </c>
      <c r="E190">
        <v>2</v>
      </c>
      <c r="F190" t="s">
        <v>13</v>
      </c>
      <c r="G190" t="s">
        <v>14</v>
      </c>
      <c r="H190" t="s">
        <v>14</v>
      </c>
      <c r="I190" t="s">
        <v>14</v>
      </c>
      <c r="J190" t="s">
        <v>13</v>
      </c>
      <c r="K190">
        <v>0</v>
      </c>
      <c r="L190" t="s">
        <v>13</v>
      </c>
      <c r="M190" t="s">
        <v>17</v>
      </c>
    </row>
    <row r="191" spans="1:13">
      <c r="A191">
        <v>5040000</v>
      </c>
      <c r="B191">
        <v>3540</v>
      </c>
      <c r="C191">
        <v>2</v>
      </c>
      <c r="D191">
        <v>1</v>
      </c>
      <c r="E191">
        <v>1</v>
      </c>
      <c r="F191" t="s">
        <v>14</v>
      </c>
      <c r="G191" t="s">
        <v>13</v>
      </c>
      <c r="H191" t="s">
        <v>13</v>
      </c>
      <c r="I191" t="s">
        <v>14</v>
      </c>
      <c r="J191" t="s">
        <v>14</v>
      </c>
      <c r="K191">
        <v>0</v>
      </c>
      <c r="L191" t="s">
        <v>14</v>
      </c>
      <c r="M191" t="s">
        <v>16</v>
      </c>
    </row>
    <row r="192" spans="1:13">
      <c r="A192">
        <v>5040000</v>
      </c>
      <c r="B192">
        <v>7600</v>
      </c>
      <c r="C192">
        <v>4</v>
      </c>
      <c r="D192">
        <v>1</v>
      </c>
      <c r="E192">
        <v>2</v>
      </c>
      <c r="F192" t="s">
        <v>13</v>
      </c>
      <c r="G192" t="s">
        <v>14</v>
      </c>
      <c r="H192" t="s">
        <v>14</v>
      </c>
      <c r="I192" t="s">
        <v>14</v>
      </c>
      <c r="J192" t="s">
        <v>13</v>
      </c>
      <c r="K192">
        <v>2</v>
      </c>
      <c r="L192" t="s">
        <v>14</v>
      </c>
      <c r="M192" t="s">
        <v>15</v>
      </c>
    </row>
    <row r="193" spans="1:13">
      <c r="A193">
        <v>5040000</v>
      </c>
      <c r="B193">
        <v>10700</v>
      </c>
      <c r="C193">
        <v>3</v>
      </c>
      <c r="D193">
        <v>1</v>
      </c>
      <c r="E193">
        <v>2</v>
      </c>
      <c r="F193" t="s">
        <v>13</v>
      </c>
      <c r="G193" t="s">
        <v>13</v>
      </c>
      <c r="H193" t="s">
        <v>13</v>
      </c>
      <c r="I193" t="s">
        <v>14</v>
      </c>
      <c r="J193" t="s">
        <v>14</v>
      </c>
      <c r="K193">
        <v>0</v>
      </c>
      <c r="L193" t="s">
        <v>14</v>
      </c>
      <c r="M193" t="s">
        <v>16</v>
      </c>
    </row>
    <row r="194" spans="1:13">
      <c r="A194">
        <v>5040000</v>
      </c>
      <c r="B194">
        <v>6600</v>
      </c>
      <c r="C194">
        <v>3</v>
      </c>
      <c r="D194">
        <v>1</v>
      </c>
      <c r="E194">
        <v>1</v>
      </c>
      <c r="F194" t="s">
        <v>13</v>
      </c>
      <c r="G194" t="s">
        <v>13</v>
      </c>
      <c r="H194" t="s">
        <v>13</v>
      </c>
      <c r="I194" t="s">
        <v>14</v>
      </c>
      <c r="J194" t="s">
        <v>14</v>
      </c>
      <c r="K194">
        <v>0</v>
      </c>
      <c r="L194" t="s">
        <v>13</v>
      </c>
      <c r="M194" t="s">
        <v>15</v>
      </c>
    </row>
    <row r="195" spans="1:13">
      <c r="A195">
        <v>5033000</v>
      </c>
      <c r="B195">
        <v>4800</v>
      </c>
      <c r="C195">
        <v>2</v>
      </c>
      <c r="D195">
        <v>1</v>
      </c>
      <c r="E195">
        <v>1</v>
      </c>
      <c r="F195" t="s">
        <v>13</v>
      </c>
      <c r="G195" t="s">
        <v>13</v>
      </c>
      <c r="H195" t="s">
        <v>13</v>
      </c>
      <c r="I195" t="s">
        <v>14</v>
      </c>
      <c r="J195" t="s">
        <v>14</v>
      </c>
      <c r="K195">
        <v>0</v>
      </c>
      <c r="L195" t="s">
        <v>14</v>
      </c>
      <c r="M195" t="s">
        <v>16</v>
      </c>
    </row>
    <row r="196" spans="1:13">
      <c r="A196">
        <v>5005000</v>
      </c>
      <c r="B196">
        <v>8150</v>
      </c>
      <c r="C196">
        <v>3</v>
      </c>
      <c r="D196">
        <v>2</v>
      </c>
      <c r="E196">
        <v>1</v>
      </c>
      <c r="F196" t="s">
        <v>13</v>
      </c>
      <c r="G196" t="s">
        <v>13</v>
      </c>
      <c r="H196" t="s">
        <v>13</v>
      </c>
      <c r="I196" t="s">
        <v>14</v>
      </c>
      <c r="J196" t="s">
        <v>14</v>
      </c>
      <c r="K196">
        <v>0</v>
      </c>
      <c r="L196" t="s">
        <v>14</v>
      </c>
      <c r="M196" t="s">
        <v>16</v>
      </c>
    </row>
    <row r="197" spans="1:13">
      <c r="A197">
        <v>4970000</v>
      </c>
      <c r="B197">
        <v>4410</v>
      </c>
      <c r="C197">
        <v>4</v>
      </c>
      <c r="D197">
        <v>3</v>
      </c>
      <c r="E197">
        <v>2</v>
      </c>
      <c r="F197" t="s">
        <v>13</v>
      </c>
      <c r="G197" t="s">
        <v>14</v>
      </c>
      <c r="H197" t="s">
        <v>13</v>
      </c>
      <c r="I197" t="s">
        <v>14</v>
      </c>
      <c r="J197" t="s">
        <v>14</v>
      </c>
      <c r="K197">
        <v>2</v>
      </c>
      <c r="L197" t="s">
        <v>14</v>
      </c>
      <c r="M197" t="s">
        <v>16</v>
      </c>
    </row>
    <row r="198" spans="1:13">
      <c r="A198">
        <v>4970000</v>
      </c>
      <c r="B198">
        <v>7686</v>
      </c>
      <c r="C198">
        <v>3</v>
      </c>
      <c r="D198">
        <v>1</v>
      </c>
      <c r="E198">
        <v>1</v>
      </c>
      <c r="F198" t="s">
        <v>13</v>
      </c>
      <c r="G198" t="s">
        <v>13</v>
      </c>
      <c r="H198" t="s">
        <v>13</v>
      </c>
      <c r="I198" t="s">
        <v>13</v>
      </c>
      <c r="J198" t="s">
        <v>14</v>
      </c>
      <c r="K198">
        <v>0</v>
      </c>
      <c r="L198" t="s">
        <v>14</v>
      </c>
      <c r="M198" t="s">
        <v>16</v>
      </c>
    </row>
    <row r="199" spans="1:13">
      <c r="A199">
        <v>4956000</v>
      </c>
      <c r="B199">
        <v>2800</v>
      </c>
      <c r="C199">
        <v>3</v>
      </c>
      <c r="D199">
        <v>2</v>
      </c>
      <c r="E199">
        <v>2</v>
      </c>
      <c r="F199" t="s">
        <v>14</v>
      </c>
      <c r="G199" t="s">
        <v>14</v>
      </c>
      <c r="H199" t="s">
        <v>13</v>
      </c>
      <c r="I199" t="s">
        <v>14</v>
      </c>
      <c r="J199" t="s">
        <v>13</v>
      </c>
      <c r="K199">
        <v>1</v>
      </c>
      <c r="L199" t="s">
        <v>14</v>
      </c>
      <c r="M199" t="s">
        <v>16</v>
      </c>
    </row>
    <row r="200" spans="1:13">
      <c r="A200">
        <v>4935000</v>
      </c>
      <c r="B200">
        <v>5948</v>
      </c>
      <c r="C200">
        <v>3</v>
      </c>
      <c r="D200">
        <v>1</v>
      </c>
      <c r="E200">
        <v>2</v>
      </c>
      <c r="F200" t="s">
        <v>13</v>
      </c>
      <c r="G200" t="s">
        <v>14</v>
      </c>
      <c r="H200" t="s">
        <v>14</v>
      </c>
      <c r="I200" t="s">
        <v>14</v>
      </c>
      <c r="J200" t="s">
        <v>13</v>
      </c>
      <c r="K200">
        <v>0</v>
      </c>
      <c r="L200" t="s">
        <v>14</v>
      </c>
      <c r="M200" t="s">
        <v>16</v>
      </c>
    </row>
    <row r="201" spans="1:13">
      <c r="A201">
        <v>4907000</v>
      </c>
      <c r="B201">
        <v>4200</v>
      </c>
      <c r="C201">
        <v>3</v>
      </c>
      <c r="D201">
        <v>1</v>
      </c>
      <c r="E201">
        <v>2</v>
      </c>
      <c r="F201" t="s">
        <v>13</v>
      </c>
      <c r="G201" t="s">
        <v>14</v>
      </c>
      <c r="H201" t="s">
        <v>14</v>
      </c>
      <c r="I201" t="s">
        <v>14</v>
      </c>
      <c r="J201" t="s">
        <v>14</v>
      </c>
      <c r="K201">
        <v>1</v>
      </c>
      <c r="L201" t="s">
        <v>14</v>
      </c>
      <c r="M201" t="s">
        <v>15</v>
      </c>
    </row>
    <row r="202" spans="1:13">
      <c r="A202">
        <v>4900000</v>
      </c>
      <c r="B202">
        <v>4520</v>
      </c>
      <c r="C202">
        <v>3</v>
      </c>
      <c r="D202">
        <v>1</v>
      </c>
      <c r="E202">
        <v>2</v>
      </c>
      <c r="F202" t="s">
        <v>13</v>
      </c>
      <c r="G202" t="s">
        <v>14</v>
      </c>
      <c r="H202" t="s">
        <v>13</v>
      </c>
      <c r="I202" t="s">
        <v>14</v>
      </c>
      <c r="J202" t="s">
        <v>13</v>
      </c>
      <c r="K202">
        <v>0</v>
      </c>
      <c r="L202" t="s">
        <v>14</v>
      </c>
      <c r="M202" t="s">
        <v>16</v>
      </c>
    </row>
    <row r="203" spans="1:13">
      <c r="A203">
        <v>4900000</v>
      </c>
      <c r="B203">
        <v>4095</v>
      </c>
      <c r="C203">
        <v>3</v>
      </c>
      <c r="D203">
        <v>1</v>
      </c>
      <c r="E203">
        <v>2</v>
      </c>
      <c r="F203" t="s">
        <v>14</v>
      </c>
      <c r="G203" t="s">
        <v>13</v>
      </c>
      <c r="H203" t="s">
        <v>13</v>
      </c>
      <c r="I203" t="s">
        <v>14</v>
      </c>
      <c r="J203" t="s">
        <v>13</v>
      </c>
      <c r="K203">
        <v>0</v>
      </c>
      <c r="L203" t="s">
        <v>14</v>
      </c>
      <c r="M203" t="s">
        <v>16</v>
      </c>
    </row>
    <row r="204" spans="1:13">
      <c r="A204">
        <v>4900000</v>
      </c>
      <c r="B204">
        <v>4120</v>
      </c>
      <c r="C204">
        <v>2</v>
      </c>
      <c r="D204">
        <v>1</v>
      </c>
      <c r="E204">
        <v>1</v>
      </c>
      <c r="F204" t="s">
        <v>13</v>
      </c>
      <c r="G204" t="s">
        <v>14</v>
      </c>
      <c r="H204" t="s">
        <v>13</v>
      </c>
      <c r="I204" t="s">
        <v>14</v>
      </c>
      <c r="J204" t="s">
        <v>14</v>
      </c>
      <c r="K204">
        <v>1</v>
      </c>
      <c r="L204" t="s">
        <v>14</v>
      </c>
      <c r="M204" t="s">
        <v>16</v>
      </c>
    </row>
    <row r="205" spans="1:13">
      <c r="A205">
        <v>4900000</v>
      </c>
      <c r="B205">
        <v>5400</v>
      </c>
      <c r="C205">
        <v>4</v>
      </c>
      <c r="D205">
        <v>1</v>
      </c>
      <c r="E205">
        <v>2</v>
      </c>
      <c r="F205" t="s">
        <v>13</v>
      </c>
      <c r="G205" t="s">
        <v>14</v>
      </c>
      <c r="H205" t="s">
        <v>14</v>
      </c>
      <c r="I205" t="s">
        <v>14</v>
      </c>
      <c r="J205" t="s">
        <v>14</v>
      </c>
      <c r="K205">
        <v>0</v>
      </c>
      <c r="L205" t="s">
        <v>14</v>
      </c>
      <c r="M205" t="s">
        <v>16</v>
      </c>
    </row>
    <row r="206" spans="1:13">
      <c r="A206">
        <v>4900000</v>
      </c>
      <c r="B206">
        <v>4770</v>
      </c>
      <c r="C206">
        <v>3</v>
      </c>
      <c r="D206">
        <v>1</v>
      </c>
      <c r="E206">
        <v>1</v>
      </c>
      <c r="F206" t="s">
        <v>13</v>
      </c>
      <c r="G206" t="s">
        <v>13</v>
      </c>
      <c r="H206" t="s">
        <v>13</v>
      </c>
      <c r="I206" t="s">
        <v>14</v>
      </c>
      <c r="J206" t="s">
        <v>14</v>
      </c>
      <c r="K206">
        <v>0</v>
      </c>
      <c r="L206" t="s">
        <v>14</v>
      </c>
      <c r="M206" t="s">
        <v>16</v>
      </c>
    </row>
    <row r="207" spans="1:13">
      <c r="A207">
        <v>4900000</v>
      </c>
      <c r="B207">
        <v>6300</v>
      </c>
      <c r="C207">
        <v>3</v>
      </c>
      <c r="D207">
        <v>1</v>
      </c>
      <c r="E207">
        <v>1</v>
      </c>
      <c r="F207" t="s">
        <v>13</v>
      </c>
      <c r="G207" t="s">
        <v>14</v>
      </c>
      <c r="H207" t="s">
        <v>14</v>
      </c>
      <c r="I207" t="s">
        <v>14</v>
      </c>
      <c r="J207" t="s">
        <v>13</v>
      </c>
      <c r="K207">
        <v>2</v>
      </c>
      <c r="L207" t="s">
        <v>14</v>
      </c>
      <c r="M207" t="s">
        <v>16</v>
      </c>
    </row>
    <row r="208" spans="1:13">
      <c r="A208">
        <v>4900000</v>
      </c>
      <c r="B208">
        <v>5800</v>
      </c>
      <c r="C208">
        <v>2</v>
      </c>
      <c r="D208">
        <v>1</v>
      </c>
      <c r="E208">
        <v>1</v>
      </c>
      <c r="F208" t="s">
        <v>13</v>
      </c>
      <c r="G208" t="s">
        <v>13</v>
      </c>
      <c r="H208" t="s">
        <v>13</v>
      </c>
      <c r="I208" t="s">
        <v>14</v>
      </c>
      <c r="J208" t="s">
        <v>13</v>
      </c>
      <c r="K208">
        <v>0</v>
      </c>
      <c r="L208" t="s">
        <v>14</v>
      </c>
      <c r="M208" t="s">
        <v>16</v>
      </c>
    </row>
    <row r="209" spans="1:13">
      <c r="A209">
        <v>4900000</v>
      </c>
      <c r="B209">
        <v>3000</v>
      </c>
      <c r="C209">
        <v>3</v>
      </c>
      <c r="D209">
        <v>1</v>
      </c>
      <c r="E209">
        <v>2</v>
      </c>
      <c r="F209" t="s">
        <v>13</v>
      </c>
      <c r="G209" t="s">
        <v>14</v>
      </c>
      <c r="H209" t="s">
        <v>13</v>
      </c>
      <c r="I209" t="s">
        <v>14</v>
      </c>
      <c r="J209" t="s">
        <v>13</v>
      </c>
      <c r="K209">
        <v>0</v>
      </c>
      <c r="L209" t="s">
        <v>14</v>
      </c>
      <c r="M209" t="s">
        <v>16</v>
      </c>
    </row>
    <row r="210" spans="1:13">
      <c r="A210">
        <v>4900000</v>
      </c>
      <c r="B210">
        <v>2970</v>
      </c>
      <c r="C210">
        <v>3</v>
      </c>
      <c r="D210">
        <v>1</v>
      </c>
      <c r="E210">
        <v>3</v>
      </c>
      <c r="F210" t="s">
        <v>13</v>
      </c>
      <c r="G210" t="s">
        <v>14</v>
      </c>
      <c r="H210" t="s">
        <v>14</v>
      </c>
      <c r="I210" t="s">
        <v>14</v>
      </c>
      <c r="J210" t="s">
        <v>14</v>
      </c>
      <c r="K210">
        <v>0</v>
      </c>
      <c r="L210" t="s">
        <v>14</v>
      </c>
      <c r="M210" t="s">
        <v>16</v>
      </c>
    </row>
    <row r="211" spans="1:13">
      <c r="A211">
        <v>4900000</v>
      </c>
      <c r="B211">
        <v>6720</v>
      </c>
      <c r="C211">
        <v>3</v>
      </c>
      <c r="D211">
        <v>1</v>
      </c>
      <c r="E211">
        <v>1</v>
      </c>
      <c r="F211" t="s">
        <v>13</v>
      </c>
      <c r="G211" t="s">
        <v>14</v>
      </c>
      <c r="H211" t="s">
        <v>14</v>
      </c>
      <c r="I211" t="s">
        <v>14</v>
      </c>
      <c r="J211" t="s">
        <v>14</v>
      </c>
      <c r="K211">
        <v>0</v>
      </c>
      <c r="L211" t="s">
        <v>14</v>
      </c>
      <c r="M211" t="s">
        <v>17</v>
      </c>
    </row>
    <row r="212" spans="1:13">
      <c r="A212">
        <v>4900000</v>
      </c>
      <c r="B212">
        <v>4646</v>
      </c>
      <c r="C212">
        <v>3</v>
      </c>
      <c r="D212">
        <v>1</v>
      </c>
      <c r="E212">
        <v>2</v>
      </c>
      <c r="F212" t="s">
        <v>13</v>
      </c>
      <c r="G212" t="s">
        <v>13</v>
      </c>
      <c r="H212" t="s">
        <v>13</v>
      </c>
      <c r="I212" t="s">
        <v>14</v>
      </c>
      <c r="J212" t="s">
        <v>14</v>
      </c>
      <c r="K212">
        <v>2</v>
      </c>
      <c r="L212" t="s">
        <v>14</v>
      </c>
      <c r="M212" t="s">
        <v>16</v>
      </c>
    </row>
    <row r="213" spans="1:13">
      <c r="A213">
        <v>4900000</v>
      </c>
      <c r="B213">
        <v>12900</v>
      </c>
      <c r="C213">
        <v>3</v>
      </c>
      <c r="D213">
        <v>1</v>
      </c>
      <c r="E213">
        <v>1</v>
      </c>
      <c r="F213" t="s">
        <v>13</v>
      </c>
      <c r="G213" t="s">
        <v>14</v>
      </c>
      <c r="H213" t="s">
        <v>14</v>
      </c>
      <c r="I213" t="s">
        <v>14</v>
      </c>
      <c r="J213" t="s">
        <v>14</v>
      </c>
      <c r="K213">
        <v>2</v>
      </c>
      <c r="L213" t="s">
        <v>14</v>
      </c>
      <c r="M213" t="s">
        <v>15</v>
      </c>
    </row>
    <row r="214" spans="1:13">
      <c r="A214">
        <v>4893000</v>
      </c>
      <c r="B214">
        <v>3420</v>
      </c>
      <c r="C214">
        <v>4</v>
      </c>
      <c r="D214">
        <v>2</v>
      </c>
      <c r="E214">
        <v>2</v>
      </c>
      <c r="F214" t="s">
        <v>13</v>
      </c>
      <c r="G214" t="s">
        <v>14</v>
      </c>
      <c r="H214" t="s">
        <v>13</v>
      </c>
      <c r="I214" t="s">
        <v>14</v>
      </c>
      <c r="J214" t="s">
        <v>13</v>
      </c>
      <c r="K214">
        <v>2</v>
      </c>
      <c r="L214" t="s">
        <v>14</v>
      </c>
      <c r="M214" t="s">
        <v>16</v>
      </c>
    </row>
    <row r="215" spans="1:13">
      <c r="A215">
        <v>4893000</v>
      </c>
      <c r="B215">
        <v>4995</v>
      </c>
      <c r="C215">
        <v>4</v>
      </c>
      <c r="D215">
        <v>2</v>
      </c>
      <c r="E215">
        <v>1</v>
      </c>
      <c r="F215" t="s">
        <v>13</v>
      </c>
      <c r="G215" t="s">
        <v>14</v>
      </c>
      <c r="H215" t="s">
        <v>13</v>
      </c>
      <c r="I215" t="s">
        <v>14</v>
      </c>
      <c r="J215" t="s">
        <v>14</v>
      </c>
      <c r="K215">
        <v>0</v>
      </c>
      <c r="L215" t="s">
        <v>14</v>
      </c>
      <c r="M215" t="s">
        <v>16</v>
      </c>
    </row>
    <row r="216" spans="1:13">
      <c r="A216">
        <v>4865000</v>
      </c>
      <c r="B216">
        <v>4350</v>
      </c>
      <c r="C216">
        <v>2</v>
      </c>
      <c r="D216">
        <v>1</v>
      </c>
      <c r="E216">
        <v>1</v>
      </c>
      <c r="F216" t="s">
        <v>13</v>
      </c>
      <c r="G216" t="s">
        <v>14</v>
      </c>
      <c r="H216" t="s">
        <v>13</v>
      </c>
      <c r="I216" t="s">
        <v>14</v>
      </c>
      <c r="J216" t="s">
        <v>14</v>
      </c>
      <c r="K216">
        <v>0</v>
      </c>
      <c r="L216" t="s">
        <v>14</v>
      </c>
      <c r="M216" t="s">
        <v>17</v>
      </c>
    </row>
    <row r="217" spans="1:13">
      <c r="A217">
        <v>4830000</v>
      </c>
      <c r="B217">
        <v>4160</v>
      </c>
      <c r="C217">
        <v>3</v>
      </c>
      <c r="D217">
        <v>1</v>
      </c>
      <c r="E217">
        <v>3</v>
      </c>
      <c r="F217" t="s">
        <v>13</v>
      </c>
      <c r="G217" t="s">
        <v>14</v>
      </c>
      <c r="H217" t="s">
        <v>14</v>
      </c>
      <c r="I217" t="s">
        <v>14</v>
      </c>
      <c r="J217" t="s">
        <v>14</v>
      </c>
      <c r="K217">
        <v>0</v>
      </c>
      <c r="L217" t="s">
        <v>14</v>
      </c>
      <c r="M217" t="s">
        <v>17</v>
      </c>
    </row>
    <row r="218" spans="1:13">
      <c r="A218">
        <v>4830000</v>
      </c>
      <c r="B218">
        <v>6040</v>
      </c>
      <c r="C218">
        <v>3</v>
      </c>
      <c r="D218">
        <v>1</v>
      </c>
      <c r="E218">
        <v>1</v>
      </c>
      <c r="F218" t="s">
        <v>13</v>
      </c>
      <c r="G218" t="s">
        <v>14</v>
      </c>
      <c r="H218" t="s">
        <v>14</v>
      </c>
      <c r="I218" t="s">
        <v>14</v>
      </c>
      <c r="J218" t="s">
        <v>14</v>
      </c>
      <c r="K218">
        <v>2</v>
      </c>
      <c r="L218" t="s">
        <v>13</v>
      </c>
      <c r="M218" t="s">
        <v>16</v>
      </c>
    </row>
    <row r="219" spans="1:13">
      <c r="A219">
        <v>4830000</v>
      </c>
      <c r="B219">
        <v>6862</v>
      </c>
      <c r="C219">
        <v>3</v>
      </c>
      <c r="D219">
        <v>1</v>
      </c>
      <c r="E219">
        <v>2</v>
      </c>
      <c r="F219" t="s">
        <v>13</v>
      </c>
      <c r="G219" t="s">
        <v>14</v>
      </c>
      <c r="H219" t="s">
        <v>14</v>
      </c>
      <c r="I219" t="s">
        <v>14</v>
      </c>
      <c r="J219" t="s">
        <v>13</v>
      </c>
      <c r="K219">
        <v>2</v>
      </c>
      <c r="L219" t="s">
        <v>13</v>
      </c>
      <c r="M219" t="s">
        <v>15</v>
      </c>
    </row>
    <row r="220" spans="1:13">
      <c r="A220">
        <v>4830000</v>
      </c>
      <c r="B220">
        <v>4815</v>
      </c>
      <c r="C220">
        <v>2</v>
      </c>
      <c r="D220">
        <v>1</v>
      </c>
      <c r="E220">
        <v>1</v>
      </c>
      <c r="F220" t="s">
        <v>13</v>
      </c>
      <c r="G220" t="s">
        <v>14</v>
      </c>
      <c r="H220" t="s">
        <v>14</v>
      </c>
      <c r="I220" t="s">
        <v>14</v>
      </c>
      <c r="J220" t="s">
        <v>13</v>
      </c>
      <c r="K220">
        <v>0</v>
      </c>
      <c r="L220" t="s">
        <v>13</v>
      </c>
      <c r="M220" t="s">
        <v>16</v>
      </c>
    </row>
    <row r="221" spans="1:13">
      <c r="A221">
        <v>4795000</v>
      </c>
      <c r="B221">
        <v>7000</v>
      </c>
      <c r="C221">
        <v>3</v>
      </c>
      <c r="D221">
        <v>1</v>
      </c>
      <c r="E221">
        <v>2</v>
      </c>
      <c r="F221" t="s">
        <v>13</v>
      </c>
      <c r="G221" t="s">
        <v>14</v>
      </c>
      <c r="H221" t="s">
        <v>13</v>
      </c>
      <c r="I221" t="s">
        <v>14</v>
      </c>
      <c r="J221" t="s">
        <v>14</v>
      </c>
      <c r="K221">
        <v>0</v>
      </c>
      <c r="L221" t="s">
        <v>14</v>
      </c>
      <c r="M221" t="s">
        <v>17</v>
      </c>
    </row>
    <row r="222" spans="1:13">
      <c r="A222">
        <v>4795000</v>
      </c>
      <c r="B222">
        <v>8100</v>
      </c>
      <c r="C222">
        <v>4</v>
      </c>
      <c r="D222">
        <v>1</v>
      </c>
      <c r="E222">
        <v>4</v>
      </c>
      <c r="F222" t="s">
        <v>13</v>
      </c>
      <c r="G222" t="s">
        <v>14</v>
      </c>
      <c r="H222" t="s">
        <v>13</v>
      </c>
      <c r="I222" t="s">
        <v>14</v>
      </c>
      <c r="J222" t="s">
        <v>13</v>
      </c>
      <c r="K222">
        <v>2</v>
      </c>
      <c r="L222" t="s">
        <v>14</v>
      </c>
      <c r="M222" t="s">
        <v>16</v>
      </c>
    </row>
    <row r="223" spans="1:13">
      <c r="A223">
        <v>4767000</v>
      </c>
      <c r="B223">
        <v>3420</v>
      </c>
      <c r="C223">
        <v>4</v>
      </c>
      <c r="D223">
        <v>2</v>
      </c>
      <c r="E223">
        <v>2</v>
      </c>
      <c r="F223" t="s">
        <v>13</v>
      </c>
      <c r="G223" t="s">
        <v>14</v>
      </c>
      <c r="H223" t="s">
        <v>14</v>
      </c>
      <c r="I223" t="s">
        <v>14</v>
      </c>
      <c r="J223" t="s">
        <v>14</v>
      </c>
      <c r="K223">
        <v>0</v>
      </c>
      <c r="L223" t="s">
        <v>14</v>
      </c>
      <c r="M223" t="s">
        <v>16</v>
      </c>
    </row>
    <row r="224" spans="1:13">
      <c r="A224">
        <v>4760000</v>
      </c>
      <c r="B224">
        <v>9166</v>
      </c>
      <c r="C224">
        <v>2</v>
      </c>
      <c r="D224">
        <v>1</v>
      </c>
      <c r="E224">
        <v>1</v>
      </c>
      <c r="F224" t="s">
        <v>13</v>
      </c>
      <c r="G224" t="s">
        <v>14</v>
      </c>
      <c r="H224" t="s">
        <v>13</v>
      </c>
      <c r="I224" t="s">
        <v>14</v>
      </c>
      <c r="J224" t="s">
        <v>13</v>
      </c>
      <c r="K224">
        <v>2</v>
      </c>
      <c r="L224" t="s">
        <v>14</v>
      </c>
      <c r="M224" t="s">
        <v>16</v>
      </c>
    </row>
    <row r="225" spans="1:13">
      <c r="A225">
        <v>4760000</v>
      </c>
      <c r="B225">
        <v>6321</v>
      </c>
      <c r="C225">
        <v>3</v>
      </c>
      <c r="D225">
        <v>1</v>
      </c>
      <c r="E225">
        <v>2</v>
      </c>
      <c r="F225" t="s">
        <v>13</v>
      </c>
      <c r="G225" t="s">
        <v>14</v>
      </c>
      <c r="H225" t="s">
        <v>13</v>
      </c>
      <c r="I225" t="s">
        <v>14</v>
      </c>
      <c r="J225" t="s">
        <v>13</v>
      </c>
      <c r="K225">
        <v>1</v>
      </c>
      <c r="L225" t="s">
        <v>14</v>
      </c>
      <c r="M225" t="s">
        <v>15</v>
      </c>
    </row>
    <row r="226" spans="1:13">
      <c r="A226">
        <v>4760000</v>
      </c>
      <c r="B226">
        <v>10240</v>
      </c>
      <c r="C226">
        <v>2</v>
      </c>
      <c r="D226">
        <v>1</v>
      </c>
      <c r="E226">
        <v>1</v>
      </c>
      <c r="F226" t="s">
        <v>13</v>
      </c>
      <c r="G226" t="s">
        <v>14</v>
      </c>
      <c r="H226" t="s">
        <v>14</v>
      </c>
      <c r="I226" t="s">
        <v>14</v>
      </c>
      <c r="J226" t="s">
        <v>13</v>
      </c>
      <c r="K226">
        <v>2</v>
      </c>
      <c r="L226" t="s">
        <v>13</v>
      </c>
      <c r="M226" t="s">
        <v>17</v>
      </c>
    </row>
    <row r="227" spans="1:13">
      <c r="A227">
        <v>4753000</v>
      </c>
      <c r="B227">
        <v>6440</v>
      </c>
      <c r="C227">
        <v>2</v>
      </c>
      <c r="D227">
        <v>1</v>
      </c>
      <c r="E227">
        <v>1</v>
      </c>
      <c r="F227" t="s">
        <v>13</v>
      </c>
      <c r="G227" t="s">
        <v>14</v>
      </c>
      <c r="H227" t="s">
        <v>14</v>
      </c>
      <c r="I227" t="s">
        <v>14</v>
      </c>
      <c r="J227" t="s">
        <v>13</v>
      </c>
      <c r="K227">
        <v>3</v>
      </c>
      <c r="L227" t="s">
        <v>14</v>
      </c>
      <c r="M227" t="s">
        <v>16</v>
      </c>
    </row>
    <row r="228" spans="1:13">
      <c r="A228">
        <v>4690000</v>
      </c>
      <c r="B228">
        <v>5170</v>
      </c>
      <c r="C228">
        <v>3</v>
      </c>
      <c r="D228">
        <v>1</v>
      </c>
      <c r="E228">
        <v>4</v>
      </c>
      <c r="F228" t="s">
        <v>13</v>
      </c>
      <c r="G228" t="s">
        <v>14</v>
      </c>
      <c r="H228" t="s">
        <v>14</v>
      </c>
      <c r="I228" t="s">
        <v>14</v>
      </c>
      <c r="J228" t="s">
        <v>13</v>
      </c>
      <c r="K228">
        <v>0</v>
      </c>
      <c r="L228" t="s">
        <v>14</v>
      </c>
      <c r="M228" t="s">
        <v>16</v>
      </c>
    </row>
    <row r="229" spans="1:13">
      <c r="A229">
        <v>4690000</v>
      </c>
      <c r="B229">
        <v>6000</v>
      </c>
      <c r="C229">
        <v>2</v>
      </c>
      <c r="D229">
        <v>1</v>
      </c>
      <c r="E229">
        <v>1</v>
      </c>
      <c r="F229" t="s">
        <v>13</v>
      </c>
      <c r="G229" t="s">
        <v>14</v>
      </c>
      <c r="H229" t="s">
        <v>13</v>
      </c>
      <c r="I229" t="s">
        <v>14</v>
      </c>
      <c r="J229" t="s">
        <v>13</v>
      </c>
      <c r="K229">
        <v>1</v>
      </c>
      <c r="L229" t="s">
        <v>14</v>
      </c>
      <c r="M229" t="s">
        <v>15</v>
      </c>
    </row>
    <row r="230" spans="1:13">
      <c r="A230">
        <v>4690000</v>
      </c>
      <c r="B230">
        <v>3630</v>
      </c>
      <c r="C230">
        <v>3</v>
      </c>
      <c r="D230">
        <v>1</v>
      </c>
      <c r="E230">
        <v>2</v>
      </c>
      <c r="F230" t="s">
        <v>13</v>
      </c>
      <c r="G230" t="s">
        <v>14</v>
      </c>
      <c r="H230" t="s">
        <v>14</v>
      </c>
      <c r="I230" t="s">
        <v>14</v>
      </c>
      <c r="J230" t="s">
        <v>14</v>
      </c>
      <c r="K230">
        <v>2</v>
      </c>
      <c r="L230" t="s">
        <v>14</v>
      </c>
      <c r="M230" t="s">
        <v>16</v>
      </c>
    </row>
    <row r="231" spans="1:13">
      <c r="A231">
        <v>4690000</v>
      </c>
      <c r="B231">
        <v>9667</v>
      </c>
      <c r="C231">
        <v>4</v>
      </c>
      <c r="D231">
        <v>2</v>
      </c>
      <c r="E231">
        <v>2</v>
      </c>
      <c r="F231" t="s">
        <v>13</v>
      </c>
      <c r="G231" t="s">
        <v>13</v>
      </c>
      <c r="H231" t="s">
        <v>13</v>
      </c>
      <c r="I231" t="s">
        <v>14</v>
      </c>
      <c r="J231" t="s">
        <v>14</v>
      </c>
      <c r="K231">
        <v>1</v>
      </c>
      <c r="L231" t="s">
        <v>14</v>
      </c>
      <c r="M231" t="s">
        <v>16</v>
      </c>
    </row>
    <row r="232" spans="1:13">
      <c r="A232">
        <v>4690000</v>
      </c>
      <c r="B232">
        <v>5400</v>
      </c>
      <c r="C232">
        <v>2</v>
      </c>
      <c r="D232">
        <v>1</v>
      </c>
      <c r="E232">
        <v>2</v>
      </c>
      <c r="F232" t="s">
        <v>13</v>
      </c>
      <c r="G232" t="s">
        <v>14</v>
      </c>
      <c r="H232" t="s">
        <v>14</v>
      </c>
      <c r="I232" t="s">
        <v>14</v>
      </c>
      <c r="J232" t="s">
        <v>14</v>
      </c>
      <c r="K232">
        <v>0</v>
      </c>
      <c r="L232" t="s">
        <v>13</v>
      </c>
      <c r="M232" t="s">
        <v>16</v>
      </c>
    </row>
    <row r="233" spans="1:13">
      <c r="A233">
        <v>4690000</v>
      </c>
      <c r="B233">
        <v>4320</v>
      </c>
      <c r="C233">
        <v>3</v>
      </c>
      <c r="D233">
        <v>1</v>
      </c>
      <c r="E233">
        <v>1</v>
      </c>
      <c r="F233" t="s">
        <v>13</v>
      </c>
      <c r="G233" t="s">
        <v>14</v>
      </c>
      <c r="H233" t="s">
        <v>14</v>
      </c>
      <c r="I233" t="s">
        <v>14</v>
      </c>
      <c r="J233" t="s">
        <v>14</v>
      </c>
      <c r="K233">
        <v>0</v>
      </c>
      <c r="L233" t="s">
        <v>13</v>
      </c>
      <c r="M233" t="s">
        <v>16</v>
      </c>
    </row>
    <row r="234" spans="1:13">
      <c r="A234">
        <v>4655000</v>
      </c>
      <c r="B234">
        <v>3745</v>
      </c>
      <c r="C234">
        <v>3</v>
      </c>
      <c r="D234">
        <v>1</v>
      </c>
      <c r="E234">
        <v>2</v>
      </c>
      <c r="F234" t="s">
        <v>13</v>
      </c>
      <c r="G234" t="s">
        <v>14</v>
      </c>
      <c r="H234" t="s">
        <v>13</v>
      </c>
      <c r="I234" t="s">
        <v>14</v>
      </c>
      <c r="J234" t="s">
        <v>14</v>
      </c>
      <c r="K234">
        <v>0</v>
      </c>
      <c r="L234" t="s">
        <v>14</v>
      </c>
      <c r="M234" t="s">
        <v>15</v>
      </c>
    </row>
    <row r="235" spans="1:13">
      <c r="A235">
        <v>4620000</v>
      </c>
      <c r="B235">
        <v>4160</v>
      </c>
      <c r="C235">
        <v>3</v>
      </c>
      <c r="D235">
        <v>1</v>
      </c>
      <c r="E235">
        <v>1</v>
      </c>
      <c r="F235" t="s">
        <v>13</v>
      </c>
      <c r="G235" t="s">
        <v>13</v>
      </c>
      <c r="H235" t="s">
        <v>13</v>
      </c>
      <c r="I235" t="s">
        <v>14</v>
      </c>
      <c r="J235" t="s">
        <v>13</v>
      </c>
      <c r="K235">
        <v>0</v>
      </c>
      <c r="L235" t="s">
        <v>14</v>
      </c>
      <c r="M235" t="s">
        <v>17</v>
      </c>
    </row>
    <row r="236" spans="1:13">
      <c r="A236">
        <v>4620000</v>
      </c>
      <c r="B236">
        <v>3880</v>
      </c>
      <c r="C236">
        <v>3</v>
      </c>
      <c r="D236">
        <v>2</v>
      </c>
      <c r="E236">
        <v>2</v>
      </c>
      <c r="F236" t="s">
        <v>13</v>
      </c>
      <c r="G236" t="s">
        <v>14</v>
      </c>
      <c r="H236" t="s">
        <v>13</v>
      </c>
      <c r="I236" t="s">
        <v>14</v>
      </c>
      <c r="J236" t="s">
        <v>14</v>
      </c>
      <c r="K236">
        <v>2</v>
      </c>
      <c r="L236" t="s">
        <v>14</v>
      </c>
      <c r="M236" t="s">
        <v>16</v>
      </c>
    </row>
    <row r="237" spans="1:13">
      <c r="A237">
        <v>4620000</v>
      </c>
      <c r="B237">
        <v>5680</v>
      </c>
      <c r="C237">
        <v>3</v>
      </c>
      <c r="D237">
        <v>1</v>
      </c>
      <c r="E237">
        <v>2</v>
      </c>
      <c r="F237" t="s">
        <v>13</v>
      </c>
      <c r="G237" t="s">
        <v>13</v>
      </c>
      <c r="H237" t="s">
        <v>14</v>
      </c>
      <c r="I237" t="s">
        <v>14</v>
      </c>
      <c r="J237" t="s">
        <v>13</v>
      </c>
      <c r="K237">
        <v>1</v>
      </c>
      <c r="L237" t="s">
        <v>14</v>
      </c>
      <c r="M237" t="s">
        <v>16</v>
      </c>
    </row>
    <row r="238" spans="1:13">
      <c r="A238">
        <v>4620000</v>
      </c>
      <c r="B238">
        <v>2870</v>
      </c>
      <c r="C238">
        <v>2</v>
      </c>
      <c r="D238">
        <v>1</v>
      </c>
      <c r="E238">
        <v>2</v>
      </c>
      <c r="F238" t="s">
        <v>13</v>
      </c>
      <c r="G238" t="s">
        <v>13</v>
      </c>
      <c r="H238" t="s">
        <v>13</v>
      </c>
      <c r="I238" t="s">
        <v>14</v>
      </c>
      <c r="J238" t="s">
        <v>14</v>
      </c>
      <c r="K238">
        <v>0</v>
      </c>
      <c r="L238" t="s">
        <v>13</v>
      </c>
      <c r="M238" t="s">
        <v>16</v>
      </c>
    </row>
    <row r="239" spans="1:13">
      <c r="A239">
        <v>4620000</v>
      </c>
      <c r="B239">
        <v>5010</v>
      </c>
      <c r="C239">
        <v>3</v>
      </c>
      <c r="D239">
        <v>1</v>
      </c>
      <c r="E239">
        <v>2</v>
      </c>
      <c r="F239" t="s">
        <v>13</v>
      </c>
      <c r="G239" t="s">
        <v>14</v>
      </c>
      <c r="H239" t="s">
        <v>13</v>
      </c>
      <c r="I239" t="s">
        <v>14</v>
      </c>
      <c r="J239" t="s">
        <v>14</v>
      </c>
      <c r="K239">
        <v>0</v>
      </c>
      <c r="L239" t="s">
        <v>14</v>
      </c>
      <c r="M239" t="s">
        <v>16</v>
      </c>
    </row>
    <row r="240" spans="1:13">
      <c r="A240">
        <v>4613000</v>
      </c>
      <c r="B240">
        <v>4510</v>
      </c>
      <c r="C240">
        <v>4</v>
      </c>
      <c r="D240">
        <v>2</v>
      </c>
      <c r="E240">
        <v>2</v>
      </c>
      <c r="F240" t="s">
        <v>13</v>
      </c>
      <c r="G240" t="s">
        <v>14</v>
      </c>
      <c r="H240" t="s">
        <v>13</v>
      </c>
      <c r="I240" t="s">
        <v>14</v>
      </c>
      <c r="J240" t="s">
        <v>14</v>
      </c>
      <c r="K240">
        <v>0</v>
      </c>
      <c r="L240" t="s">
        <v>14</v>
      </c>
      <c r="M240" t="s">
        <v>16</v>
      </c>
    </row>
    <row r="241" spans="1:13">
      <c r="A241">
        <v>4585000</v>
      </c>
      <c r="B241">
        <v>4000</v>
      </c>
      <c r="C241">
        <v>3</v>
      </c>
      <c r="D241">
        <v>1</v>
      </c>
      <c r="E241">
        <v>2</v>
      </c>
      <c r="F241" t="s">
        <v>13</v>
      </c>
      <c r="G241" t="s">
        <v>14</v>
      </c>
      <c r="H241" t="s">
        <v>14</v>
      </c>
      <c r="I241" t="s">
        <v>14</v>
      </c>
      <c r="J241" t="s">
        <v>14</v>
      </c>
      <c r="K241">
        <v>1</v>
      </c>
      <c r="L241" t="s">
        <v>14</v>
      </c>
      <c r="M241" t="s">
        <v>15</v>
      </c>
    </row>
    <row r="242" spans="1:13">
      <c r="A242">
        <v>4585000</v>
      </c>
      <c r="B242">
        <v>3840</v>
      </c>
      <c r="C242">
        <v>3</v>
      </c>
      <c r="D242">
        <v>1</v>
      </c>
      <c r="E242">
        <v>2</v>
      </c>
      <c r="F242" t="s">
        <v>13</v>
      </c>
      <c r="G242" t="s">
        <v>14</v>
      </c>
      <c r="H242" t="s">
        <v>14</v>
      </c>
      <c r="I242" t="s">
        <v>14</v>
      </c>
      <c r="J242" t="s">
        <v>14</v>
      </c>
      <c r="K242">
        <v>1</v>
      </c>
      <c r="L242" t="s">
        <v>13</v>
      </c>
      <c r="M242" t="s">
        <v>16</v>
      </c>
    </row>
    <row r="243" spans="1:13">
      <c r="A243">
        <v>4550000</v>
      </c>
      <c r="B243">
        <v>3760</v>
      </c>
      <c r="C243">
        <v>3</v>
      </c>
      <c r="D243">
        <v>1</v>
      </c>
      <c r="E243">
        <v>1</v>
      </c>
      <c r="F243" t="s">
        <v>13</v>
      </c>
      <c r="G243" t="s">
        <v>14</v>
      </c>
      <c r="H243" t="s">
        <v>14</v>
      </c>
      <c r="I243" t="s">
        <v>14</v>
      </c>
      <c r="J243" t="s">
        <v>14</v>
      </c>
      <c r="K243">
        <v>2</v>
      </c>
      <c r="L243" t="s">
        <v>14</v>
      </c>
      <c r="M243" t="s">
        <v>16</v>
      </c>
    </row>
    <row r="244" spans="1:13">
      <c r="A244">
        <v>4550000</v>
      </c>
      <c r="B244">
        <v>3640</v>
      </c>
      <c r="C244">
        <v>3</v>
      </c>
      <c r="D244">
        <v>1</v>
      </c>
      <c r="E244">
        <v>2</v>
      </c>
      <c r="F244" t="s">
        <v>13</v>
      </c>
      <c r="G244" t="s">
        <v>14</v>
      </c>
      <c r="H244" t="s">
        <v>14</v>
      </c>
      <c r="I244" t="s">
        <v>14</v>
      </c>
      <c r="J244" t="s">
        <v>13</v>
      </c>
      <c r="K244">
        <v>0</v>
      </c>
      <c r="L244" t="s">
        <v>14</v>
      </c>
      <c r="M244" t="s">
        <v>15</v>
      </c>
    </row>
    <row r="245" spans="1:13">
      <c r="A245">
        <v>4550000</v>
      </c>
      <c r="B245">
        <v>2550</v>
      </c>
      <c r="C245">
        <v>3</v>
      </c>
      <c r="D245">
        <v>1</v>
      </c>
      <c r="E245">
        <v>2</v>
      </c>
      <c r="F245" t="s">
        <v>13</v>
      </c>
      <c r="G245" t="s">
        <v>14</v>
      </c>
      <c r="H245" t="s">
        <v>13</v>
      </c>
      <c r="I245" t="s">
        <v>14</v>
      </c>
      <c r="J245" t="s">
        <v>14</v>
      </c>
      <c r="K245">
        <v>0</v>
      </c>
      <c r="L245" t="s">
        <v>14</v>
      </c>
      <c r="M245" t="s">
        <v>15</v>
      </c>
    </row>
    <row r="246" spans="1:13">
      <c r="A246">
        <v>4550000</v>
      </c>
      <c r="B246">
        <v>5320</v>
      </c>
      <c r="C246">
        <v>3</v>
      </c>
      <c r="D246">
        <v>1</v>
      </c>
      <c r="E246">
        <v>2</v>
      </c>
      <c r="F246" t="s">
        <v>13</v>
      </c>
      <c r="G246" t="s">
        <v>13</v>
      </c>
      <c r="H246" t="s">
        <v>13</v>
      </c>
      <c r="I246" t="s">
        <v>14</v>
      </c>
      <c r="J246" t="s">
        <v>14</v>
      </c>
      <c r="K246">
        <v>0</v>
      </c>
      <c r="L246" t="s">
        <v>13</v>
      </c>
      <c r="M246" t="s">
        <v>16</v>
      </c>
    </row>
    <row r="247" spans="1:13">
      <c r="A247">
        <v>4550000</v>
      </c>
      <c r="B247">
        <v>5360</v>
      </c>
      <c r="C247">
        <v>3</v>
      </c>
      <c r="D247">
        <v>1</v>
      </c>
      <c r="E247">
        <v>2</v>
      </c>
      <c r="F247" t="s">
        <v>13</v>
      </c>
      <c r="G247" t="s">
        <v>14</v>
      </c>
      <c r="H247" t="s">
        <v>14</v>
      </c>
      <c r="I247" t="s">
        <v>14</v>
      </c>
      <c r="J247" t="s">
        <v>14</v>
      </c>
      <c r="K247">
        <v>2</v>
      </c>
      <c r="L247" t="s">
        <v>13</v>
      </c>
      <c r="M247" t="s">
        <v>17</v>
      </c>
    </row>
    <row r="248" spans="1:13">
      <c r="A248">
        <v>4550000</v>
      </c>
      <c r="B248">
        <v>3520</v>
      </c>
      <c r="C248">
        <v>3</v>
      </c>
      <c r="D248">
        <v>1</v>
      </c>
      <c r="E248">
        <v>1</v>
      </c>
      <c r="F248" t="s">
        <v>13</v>
      </c>
      <c r="G248" t="s">
        <v>14</v>
      </c>
      <c r="H248" t="s">
        <v>14</v>
      </c>
      <c r="I248" t="s">
        <v>14</v>
      </c>
      <c r="J248" t="s">
        <v>14</v>
      </c>
      <c r="K248">
        <v>0</v>
      </c>
      <c r="L248" t="s">
        <v>13</v>
      </c>
      <c r="M248" t="s">
        <v>16</v>
      </c>
    </row>
    <row r="249" spans="1:13">
      <c r="A249">
        <v>4550000</v>
      </c>
      <c r="B249">
        <v>8400</v>
      </c>
      <c r="C249">
        <v>4</v>
      </c>
      <c r="D249">
        <v>1</v>
      </c>
      <c r="E249">
        <v>4</v>
      </c>
      <c r="F249" t="s">
        <v>13</v>
      </c>
      <c r="G249" t="s">
        <v>14</v>
      </c>
      <c r="H249" t="s">
        <v>14</v>
      </c>
      <c r="I249" t="s">
        <v>14</v>
      </c>
      <c r="J249" t="s">
        <v>14</v>
      </c>
      <c r="K249">
        <v>3</v>
      </c>
      <c r="L249" t="s">
        <v>14</v>
      </c>
      <c r="M249" t="s">
        <v>17</v>
      </c>
    </row>
    <row r="250" spans="1:13">
      <c r="A250">
        <v>4543000</v>
      </c>
      <c r="B250">
        <v>4100</v>
      </c>
      <c r="C250">
        <v>2</v>
      </c>
      <c r="D250">
        <v>2</v>
      </c>
      <c r="E250">
        <v>1</v>
      </c>
      <c r="F250" t="s">
        <v>13</v>
      </c>
      <c r="G250" t="s">
        <v>13</v>
      </c>
      <c r="H250" t="s">
        <v>13</v>
      </c>
      <c r="I250" t="s">
        <v>14</v>
      </c>
      <c r="J250" t="s">
        <v>14</v>
      </c>
      <c r="K250">
        <v>0</v>
      </c>
      <c r="L250" t="s">
        <v>14</v>
      </c>
      <c r="M250" t="s">
        <v>16</v>
      </c>
    </row>
    <row r="251" spans="1:13">
      <c r="A251">
        <v>4543000</v>
      </c>
      <c r="B251">
        <v>4990</v>
      </c>
      <c r="C251">
        <v>4</v>
      </c>
      <c r="D251">
        <v>2</v>
      </c>
      <c r="E251">
        <v>2</v>
      </c>
      <c r="F251" t="s">
        <v>13</v>
      </c>
      <c r="G251" t="s">
        <v>13</v>
      </c>
      <c r="H251" t="s">
        <v>13</v>
      </c>
      <c r="I251" t="s">
        <v>14</v>
      </c>
      <c r="J251" t="s">
        <v>14</v>
      </c>
      <c r="K251">
        <v>0</v>
      </c>
      <c r="L251" t="s">
        <v>13</v>
      </c>
      <c r="M251" t="s">
        <v>15</v>
      </c>
    </row>
    <row r="252" spans="1:13">
      <c r="A252">
        <v>4515000</v>
      </c>
      <c r="B252">
        <v>3510</v>
      </c>
      <c r="C252">
        <v>3</v>
      </c>
      <c r="D252">
        <v>1</v>
      </c>
      <c r="E252">
        <v>3</v>
      </c>
      <c r="F252" t="s">
        <v>13</v>
      </c>
      <c r="G252" t="s">
        <v>14</v>
      </c>
      <c r="H252" t="s">
        <v>14</v>
      </c>
      <c r="I252" t="s">
        <v>14</v>
      </c>
      <c r="J252" t="s">
        <v>14</v>
      </c>
      <c r="K252">
        <v>0</v>
      </c>
      <c r="L252" t="s">
        <v>14</v>
      </c>
      <c r="M252" t="s">
        <v>16</v>
      </c>
    </row>
    <row r="253" spans="1:13">
      <c r="A253">
        <v>4515000</v>
      </c>
      <c r="B253">
        <v>3450</v>
      </c>
      <c r="C253">
        <v>3</v>
      </c>
      <c r="D253">
        <v>1</v>
      </c>
      <c r="E253">
        <v>2</v>
      </c>
      <c r="F253" t="s">
        <v>13</v>
      </c>
      <c r="G253" t="s">
        <v>14</v>
      </c>
      <c r="H253" t="s">
        <v>13</v>
      </c>
      <c r="I253" t="s">
        <v>14</v>
      </c>
      <c r="J253" t="s">
        <v>14</v>
      </c>
      <c r="K253">
        <v>1</v>
      </c>
      <c r="L253" t="s">
        <v>14</v>
      </c>
      <c r="M253" t="s">
        <v>16</v>
      </c>
    </row>
    <row r="254" spans="1:13">
      <c r="A254">
        <v>4515000</v>
      </c>
      <c r="B254">
        <v>9860</v>
      </c>
      <c r="C254">
        <v>3</v>
      </c>
      <c r="D254">
        <v>1</v>
      </c>
      <c r="E254">
        <v>1</v>
      </c>
      <c r="F254" t="s">
        <v>13</v>
      </c>
      <c r="G254" t="s">
        <v>14</v>
      </c>
      <c r="H254" t="s">
        <v>14</v>
      </c>
      <c r="I254" t="s">
        <v>14</v>
      </c>
      <c r="J254" t="s">
        <v>14</v>
      </c>
      <c r="K254">
        <v>0</v>
      </c>
      <c r="L254" t="s">
        <v>14</v>
      </c>
      <c r="M254" t="s">
        <v>16</v>
      </c>
    </row>
    <row r="255" spans="1:13">
      <c r="A255">
        <v>4515000</v>
      </c>
      <c r="B255">
        <v>3520</v>
      </c>
      <c r="C255">
        <v>2</v>
      </c>
      <c r="D255">
        <v>1</v>
      </c>
      <c r="E255">
        <v>2</v>
      </c>
      <c r="F255" t="s">
        <v>13</v>
      </c>
      <c r="G255" t="s">
        <v>14</v>
      </c>
      <c r="H255" t="s">
        <v>14</v>
      </c>
      <c r="I255" t="s">
        <v>14</v>
      </c>
      <c r="J255" t="s">
        <v>14</v>
      </c>
      <c r="K255">
        <v>0</v>
      </c>
      <c r="L255" t="s">
        <v>13</v>
      </c>
      <c r="M255" t="s">
        <v>15</v>
      </c>
    </row>
    <row r="256" spans="1:13">
      <c r="A256">
        <v>4480000</v>
      </c>
      <c r="B256">
        <v>4510</v>
      </c>
      <c r="C256">
        <v>4</v>
      </c>
      <c r="D256">
        <v>1</v>
      </c>
      <c r="E256">
        <v>2</v>
      </c>
      <c r="F256" t="s">
        <v>13</v>
      </c>
      <c r="G256" t="s">
        <v>14</v>
      </c>
      <c r="H256" t="s">
        <v>14</v>
      </c>
      <c r="I256" t="s">
        <v>14</v>
      </c>
      <c r="J256" t="s">
        <v>13</v>
      </c>
      <c r="K256">
        <v>2</v>
      </c>
      <c r="L256" t="s">
        <v>14</v>
      </c>
      <c r="M256" t="s">
        <v>16</v>
      </c>
    </row>
    <row r="257" spans="1:13">
      <c r="A257">
        <v>4480000</v>
      </c>
      <c r="B257">
        <v>5885</v>
      </c>
      <c r="C257">
        <v>2</v>
      </c>
      <c r="D257">
        <v>1</v>
      </c>
      <c r="E257">
        <v>1</v>
      </c>
      <c r="F257" t="s">
        <v>13</v>
      </c>
      <c r="G257" t="s">
        <v>14</v>
      </c>
      <c r="H257" t="s">
        <v>14</v>
      </c>
      <c r="I257" t="s">
        <v>14</v>
      </c>
      <c r="J257" t="s">
        <v>13</v>
      </c>
      <c r="K257">
        <v>1</v>
      </c>
      <c r="L257" t="s">
        <v>14</v>
      </c>
      <c r="M257" t="s">
        <v>17</v>
      </c>
    </row>
    <row r="258" spans="1:13">
      <c r="A258">
        <v>4480000</v>
      </c>
      <c r="B258">
        <v>4000</v>
      </c>
      <c r="C258">
        <v>3</v>
      </c>
      <c r="D258">
        <v>1</v>
      </c>
      <c r="E258">
        <v>2</v>
      </c>
      <c r="F258" t="s">
        <v>13</v>
      </c>
      <c r="G258" t="s">
        <v>14</v>
      </c>
      <c r="H258" t="s">
        <v>14</v>
      </c>
      <c r="I258" t="s">
        <v>14</v>
      </c>
      <c r="J258" t="s">
        <v>14</v>
      </c>
      <c r="K258">
        <v>2</v>
      </c>
      <c r="L258" t="s">
        <v>14</v>
      </c>
      <c r="M258" t="s">
        <v>15</v>
      </c>
    </row>
    <row r="259" spans="1:13">
      <c r="A259">
        <v>4480000</v>
      </c>
      <c r="B259">
        <v>8250</v>
      </c>
      <c r="C259">
        <v>3</v>
      </c>
      <c r="D259">
        <v>1</v>
      </c>
      <c r="E259">
        <v>1</v>
      </c>
      <c r="F259" t="s">
        <v>13</v>
      </c>
      <c r="G259" t="s">
        <v>14</v>
      </c>
      <c r="H259" t="s">
        <v>14</v>
      </c>
      <c r="I259" t="s">
        <v>14</v>
      </c>
      <c r="J259" t="s">
        <v>14</v>
      </c>
      <c r="K259">
        <v>0</v>
      </c>
      <c r="L259" t="s">
        <v>14</v>
      </c>
      <c r="M259" t="s">
        <v>15</v>
      </c>
    </row>
    <row r="260" spans="1:13">
      <c r="A260">
        <v>4480000</v>
      </c>
      <c r="B260">
        <v>4040</v>
      </c>
      <c r="C260">
        <v>3</v>
      </c>
      <c r="D260">
        <v>1</v>
      </c>
      <c r="E260">
        <v>2</v>
      </c>
      <c r="F260" t="s">
        <v>13</v>
      </c>
      <c r="G260" t="s">
        <v>14</v>
      </c>
      <c r="H260" t="s">
        <v>14</v>
      </c>
      <c r="I260" t="s">
        <v>14</v>
      </c>
      <c r="J260" t="s">
        <v>14</v>
      </c>
      <c r="K260">
        <v>1</v>
      </c>
      <c r="L260" t="s">
        <v>14</v>
      </c>
      <c r="M260" t="s">
        <v>16</v>
      </c>
    </row>
    <row r="261" spans="1:13">
      <c r="A261">
        <v>4473000</v>
      </c>
      <c r="B261">
        <v>6360</v>
      </c>
      <c r="C261">
        <v>2</v>
      </c>
      <c r="D261">
        <v>1</v>
      </c>
      <c r="E261">
        <v>1</v>
      </c>
      <c r="F261" t="s">
        <v>13</v>
      </c>
      <c r="G261" t="s">
        <v>14</v>
      </c>
      <c r="H261" t="s">
        <v>13</v>
      </c>
      <c r="I261" t="s">
        <v>14</v>
      </c>
      <c r="J261" t="s">
        <v>13</v>
      </c>
      <c r="K261">
        <v>1</v>
      </c>
      <c r="L261" t="s">
        <v>14</v>
      </c>
      <c r="M261" t="s">
        <v>15</v>
      </c>
    </row>
    <row r="262" spans="1:13">
      <c r="A262">
        <v>4473000</v>
      </c>
      <c r="B262">
        <v>3162</v>
      </c>
      <c r="C262">
        <v>3</v>
      </c>
      <c r="D262">
        <v>1</v>
      </c>
      <c r="E262">
        <v>2</v>
      </c>
      <c r="F262" t="s">
        <v>13</v>
      </c>
      <c r="G262" t="s">
        <v>14</v>
      </c>
      <c r="H262" t="s">
        <v>14</v>
      </c>
      <c r="I262" t="s">
        <v>14</v>
      </c>
      <c r="J262" t="s">
        <v>13</v>
      </c>
      <c r="K262">
        <v>1</v>
      </c>
      <c r="L262" t="s">
        <v>14</v>
      </c>
      <c r="M262" t="s">
        <v>15</v>
      </c>
    </row>
    <row r="263" spans="1:13">
      <c r="A263">
        <v>4473000</v>
      </c>
      <c r="B263">
        <v>3510</v>
      </c>
      <c r="C263">
        <v>3</v>
      </c>
      <c r="D263">
        <v>1</v>
      </c>
      <c r="E263">
        <v>2</v>
      </c>
      <c r="F263" t="s">
        <v>13</v>
      </c>
      <c r="G263" t="s">
        <v>14</v>
      </c>
      <c r="H263" t="s">
        <v>14</v>
      </c>
      <c r="I263" t="s">
        <v>14</v>
      </c>
      <c r="J263" t="s">
        <v>14</v>
      </c>
      <c r="K263">
        <v>0</v>
      </c>
      <c r="L263" t="s">
        <v>14</v>
      </c>
      <c r="M263" t="s">
        <v>16</v>
      </c>
    </row>
    <row r="264" spans="1:13">
      <c r="A264">
        <v>4445000</v>
      </c>
      <c r="B264">
        <v>3750</v>
      </c>
      <c r="C264">
        <v>2</v>
      </c>
      <c r="D264">
        <v>1</v>
      </c>
      <c r="E264">
        <v>1</v>
      </c>
      <c r="F264" t="s">
        <v>13</v>
      </c>
      <c r="G264" t="s">
        <v>13</v>
      </c>
      <c r="H264" t="s">
        <v>13</v>
      </c>
      <c r="I264" t="s">
        <v>14</v>
      </c>
      <c r="J264" t="s">
        <v>14</v>
      </c>
      <c r="K264">
        <v>0</v>
      </c>
      <c r="L264" t="s">
        <v>14</v>
      </c>
      <c r="M264" t="s">
        <v>16</v>
      </c>
    </row>
    <row r="265" spans="1:13">
      <c r="A265">
        <v>4410000</v>
      </c>
      <c r="B265">
        <v>3968</v>
      </c>
      <c r="C265">
        <v>3</v>
      </c>
      <c r="D265">
        <v>1</v>
      </c>
      <c r="E265">
        <v>2</v>
      </c>
      <c r="F265" t="s">
        <v>14</v>
      </c>
      <c r="G265" t="s">
        <v>14</v>
      </c>
      <c r="H265" t="s">
        <v>14</v>
      </c>
      <c r="I265" t="s">
        <v>14</v>
      </c>
      <c r="J265" t="s">
        <v>14</v>
      </c>
      <c r="K265">
        <v>0</v>
      </c>
      <c r="L265" t="s">
        <v>14</v>
      </c>
      <c r="M265" t="s">
        <v>16</v>
      </c>
    </row>
    <row r="266" spans="1:13">
      <c r="A266">
        <v>4410000</v>
      </c>
      <c r="B266">
        <v>4900</v>
      </c>
      <c r="C266">
        <v>2</v>
      </c>
      <c r="D266">
        <v>1</v>
      </c>
      <c r="E266">
        <v>2</v>
      </c>
      <c r="F266" t="s">
        <v>13</v>
      </c>
      <c r="G266" t="s">
        <v>14</v>
      </c>
      <c r="H266" t="s">
        <v>13</v>
      </c>
      <c r="I266" t="s">
        <v>14</v>
      </c>
      <c r="J266" t="s">
        <v>14</v>
      </c>
      <c r="K266">
        <v>0</v>
      </c>
      <c r="L266" t="s">
        <v>14</v>
      </c>
      <c r="M266" t="s">
        <v>16</v>
      </c>
    </row>
    <row r="267" spans="1:13">
      <c r="A267">
        <v>4403000</v>
      </c>
      <c r="B267">
        <v>2880</v>
      </c>
      <c r="C267">
        <v>3</v>
      </c>
      <c r="D267">
        <v>1</v>
      </c>
      <c r="E267">
        <v>2</v>
      </c>
      <c r="F267" t="s">
        <v>13</v>
      </c>
      <c r="G267" t="s">
        <v>14</v>
      </c>
      <c r="H267" t="s">
        <v>14</v>
      </c>
      <c r="I267" t="s">
        <v>14</v>
      </c>
      <c r="J267" t="s">
        <v>14</v>
      </c>
      <c r="K267">
        <v>0</v>
      </c>
      <c r="L267" t="s">
        <v>13</v>
      </c>
      <c r="M267" t="s">
        <v>16</v>
      </c>
    </row>
    <row r="268" spans="1:13">
      <c r="A268">
        <v>4403000</v>
      </c>
      <c r="B268">
        <v>4880</v>
      </c>
      <c r="C268">
        <v>3</v>
      </c>
      <c r="D268">
        <v>1</v>
      </c>
      <c r="E268">
        <v>1</v>
      </c>
      <c r="F268" t="s">
        <v>13</v>
      </c>
      <c r="G268" t="s">
        <v>14</v>
      </c>
      <c r="H268" t="s">
        <v>14</v>
      </c>
      <c r="I268" t="s">
        <v>14</v>
      </c>
      <c r="J268" t="s">
        <v>14</v>
      </c>
      <c r="K268">
        <v>2</v>
      </c>
      <c r="L268" t="s">
        <v>13</v>
      </c>
      <c r="M268" t="s">
        <v>17</v>
      </c>
    </row>
    <row r="269" spans="1:13">
      <c r="A269">
        <v>4403000</v>
      </c>
      <c r="B269">
        <v>4920</v>
      </c>
      <c r="C269">
        <v>3</v>
      </c>
      <c r="D269">
        <v>1</v>
      </c>
      <c r="E269">
        <v>2</v>
      </c>
      <c r="F269" t="s">
        <v>13</v>
      </c>
      <c r="G269" t="s">
        <v>14</v>
      </c>
      <c r="H269" t="s">
        <v>14</v>
      </c>
      <c r="I269" t="s">
        <v>14</v>
      </c>
      <c r="J269" t="s">
        <v>14</v>
      </c>
      <c r="K269">
        <v>1</v>
      </c>
      <c r="L269" t="s">
        <v>14</v>
      </c>
      <c r="M269" t="s">
        <v>16</v>
      </c>
    </row>
    <row r="270" spans="1:13">
      <c r="A270">
        <v>4382000</v>
      </c>
      <c r="B270">
        <v>4950</v>
      </c>
      <c r="C270">
        <v>4</v>
      </c>
      <c r="D270">
        <v>1</v>
      </c>
      <c r="E270">
        <v>2</v>
      </c>
      <c r="F270" t="s">
        <v>13</v>
      </c>
      <c r="G270" t="s">
        <v>14</v>
      </c>
      <c r="H270" t="s">
        <v>14</v>
      </c>
      <c r="I270" t="s">
        <v>14</v>
      </c>
      <c r="J270" t="s">
        <v>13</v>
      </c>
      <c r="K270">
        <v>0</v>
      </c>
      <c r="L270" t="s">
        <v>14</v>
      </c>
      <c r="M270" t="s">
        <v>16</v>
      </c>
    </row>
    <row r="271" spans="1:13">
      <c r="A271">
        <v>4375000</v>
      </c>
      <c r="B271">
        <v>3900</v>
      </c>
      <c r="C271">
        <v>3</v>
      </c>
      <c r="D271">
        <v>1</v>
      </c>
      <c r="E271">
        <v>2</v>
      </c>
      <c r="F271" t="s">
        <v>13</v>
      </c>
      <c r="G271" t="s">
        <v>14</v>
      </c>
      <c r="H271" t="s">
        <v>14</v>
      </c>
      <c r="I271" t="s">
        <v>14</v>
      </c>
      <c r="J271" t="s">
        <v>14</v>
      </c>
      <c r="K271">
        <v>0</v>
      </c>
      <c r="L271" t="s">
        <v>14</v>
      </c>
      <c r="M271" t="s">
        <v>17</v>
      </c>
    </row>
    <row r="272" spans="1:13">
      <c r="A272">
        <v>4340000</v>
      </c>
      <c r="B272">
        <v>4500</v>
      </c>
      <c r="C272">
        <v>3</v>
      </c>
      <c r="D272">
        <v>2</v>
      </c>
      <c r="E272">
        <v>3</v>
      </c>
      <c r="F272" t="s">
        <v>13</v>
      </c>
      <c r="G272" t="s">
        <v>14</v>
      </c>
      <c r="H272" t="s">
        <v>14</v>
      </c>
      <c r="I272" t="s">
        <v>13</v>
      </c>
      <c r="J272" t="s">
        <v>14</v>
      </c>
      <c r="K272">
        <v>1</v>
      </c>
      <c r="L272" t="s">
        <v>14</v>
      </c>
      <c r="M272" t="s">
        <v>15</v>
      </c>
    </row>
    <row r="273" spans="1:13">
      <c r="A273">
        <v>4340000</v>
      </c>
      <c r="B273">
        <v>1905</v>
      </c>
      <c r="C273">
        <v>5</v>
      </c>
      <c r="D273">
        <v>1</v>
      </c>
      <c r="E273">
        <v>2</v>
      </c>
      <c r="F273" t="s">
        <v>14</v>
      </c>
      <c r="G273" t="s">
        <v>14</v>
      </c>
      <c r="H273" t="s">
        <v>13</v>
      </c>
      <c r="I273" t="s">
        <v>14</v>
      </c>
      <c r="J273" t="s">
        <v>14</v>
      </c>
      <c r="K273">
        <v>0</v>
      </c>
      <c r="L273" t="s">
        <v>14</v>
      </c>
      <c r="M273" t="s">
        <v>16</v>
      </c>
    </row>
    <row r="274" spans="1:13">
      <c r="A274">
        <v>4340000</v>
      </c>
      <c r="B274">
        <v>4075</v>
      </c>
      <c r="C274">
        <v>3</v>
      </c>
      <c r="D274">
        <v>1</v>
      </c>
      <c r="E274">
        <v>1</v>
      </c>
      <c r="F274" t="s">
        <v>13</v>
      </c>
      <c r="G274" t="s">
        <v>13</v>
      </c>
      <c r="H274" t="s">
        <v>13</v>
      </c>
      <c r="I274" t="s">
        <v>14</v>
      </c>
      <c r="J274" t="s">
        <v>14</v>
      </c>
      <c r="K274">
        <v>2</v>
      </c>
      <c r="L274" t="s">
        <v>14</v>
      </c>
      <c r="M274" t="s">
        <v>16</v>
      </c>
    </row>
    <row r="275" spans="1:13">
      <c r="A275">
        <v>4340000</v>
      </c>
      <c r="B275">
        <v>3500</v>
      </c>
      <c r="C275">
        <v>4</v>
      </c>
      <c r="D275">
        <v>1</v>
      </c>
      <c r="E275">
        <v>2</v>
      </c>
      <c r="F275" t="s">
        <v>13</v>
      </c>
      <c r="G275" t="s">
        <v>14</v>
      </c>
      <c r="H275" t="s">
        <v>14</v>
      </c>
      <c r="I275" t="s">
        <v>14</v>
      </c>
      <c r="J275" t="s">
        <v>14</v>
      </c>
      <c r="K275">
        <v>2</v>
      </c>
      <c r="L275" t="s">
        <v>14</v>
      </c>
      <c r="M275" t="s">
        <v>15</v>
      </c>
    </row>
    <row r="276" spans="1:13">
      <c r="A276">
        <v>4340000</v>
      </c>
      <c r="B276">
        <v>6450</v>
      </c>
      <c r="C276">
        <v>4</v>
      </c>
      <c r="D276">
        <v>1</v>
      </c>
      <c r="E276">
        <v>2</v>
      </c>
      <c r="F276" t="s">
        <v>13</v>
      </c>
      <c r="G276" t="s">
        <v>14</v>
      </c>
      <c r="H276" t="s">
        <v>14</v>
      </c>
      <c r="I276" t="s">
        <v>14</v>
      </c>
      <c r="J276" t="s">
        <v>14</v>
      </c>
      <c r="K276">
        <v>0</v>
      </c>
      <c r="L276" t="s">
        <v>14</v>
      </c>
      <c r="M276" t="s">
        <v>16</v>
      </c>
    </row>
    <row r="277" spans="1:13">
      <c r="A277">
        <v>4319000</v>
      </c>
      <c r="B277">
        <v>4032</v>
      </c>
      <c r="C277">
        <v>2</v>
      </c>
      <c r="D277">
        <v>1</v>
      </c>
      <c r="E277">
        <v>1</v>
      </c>
      <c r="F277" t="s">
        <v>13</v>
      </c>
      <c r="G277" t="s">
        <v>14</v>
      </c>
      <c r="H277" t="s">
        <v>13</v>
      </c>
      <c r="I277" t="s">
        <v>14</v>
      </c>
      <c r="J277" t="s">
        <v>14</v>
      </c>
      <c r="K277">
        <v>0</v>
      </c>
      <c r="L277" t="s">
        <v>14</v>
      </c>
      <c r="M277" t="s">
        <v>15</v>
      </c>
    </row>
    <row r="278" spans="1:13">
      <c r="A278">
        <v>4305000</v>
      </c>
      <c r="B278">
        <v>4400</v>
      </c>
      <c r="C278">
        <v>2</v>
      </c>
      <c r="D278">
        <v>1</v>
      </c>
      <c r="E278">
        <v>1</v>
      </c>
      <c r="F278" t="s">
        <v>13</v>
      </c>
      <c r="G278" t="s">
        <v>14</v>
      </c>
      <c r="H278" t="s">
        <v>14</v>
      </c>
      <c r="I278" t="s">
        <v>14</v>
      </c>
      <c r="J278" t="s">
        <v>14</v>
      </c>
      <c r="K278">
        <v>1</v>
      </c>
      <c r="L278" t="s">
        <v>14</v>
      </c>
      <c r="M278" t="s">
        <v>16</v>
      </c>
    </row>
    <row r="279" spans="1:13">
      <c r="A279">
        <v>4305000</v>
      </c>
      <c r="B279">
        <v>10360</v>
      </c>
      <c r="C279">
        <v>2</v>
      </c>
      <c r="D279">
        <v>1</v>
      </c>
      <c r="E279">
        <v>1</v>
      </c>
      <c r="F279" t="s">
        <v>13</v>
      </c>
      <c r="G279" t="s">
        <v>14</v>
      </c>
      <c r="H279" t="s">
        <v>14</v>
      </c>
      <c r="I279" t="s">
        <v>14</v>
      </c>
      <c r="J279" t="s">
        <v>14</v>
      </c>
      <c r="K279">
        <v>1</v>
      </c>
      <c r="L279" t="s">
        <v>13</v>
      </c>
      <c r="M279" t="s">
        <v>16</v>
      </c>
    </row>
    <row r="280" spans="1:13">
      <c r="A280">
        <v>4277000</v>
      </c>
      <c r="B280">
        <v>3400</v>
      </c>
      <c r="C280">
        <v>3</v>
      </c>
      <c r="D280">
        <v>1</v>
      </c>
      <c r="E280">
        <v>2</v>
      </c>
      <c r="F280" t="s">
        <v>13</v>
      </c>
      <c r="G280" t="s">
        <v>14</v>
      </c>
      <c r="H280" t="s">
        <v>13</v>
      </c>
      <c r="I280" t="s">
        <v>14</v>
      </c>
      <c r="J280" t="s">
        <v>14</v>
      </c>
      <c r="K280">
        <v>2</v>
      </c>
      <c r="L280" t="s">
        <v>13</v>
      </c>
      <c r="M280" t="s">
        <v>16</v>
      </c>
    </row>
    <row r="281" spans="1:13">
      <c r="A281">
        <v>4270000</v>
      </c>
      <c r="B281">
        <v>6360</v>
      </c>
      <c r="C281">
        <v>2</v>
      </c>
      <c r="D281">
        <v>1</v>
      </c>
      <c r="E281">
        <v>1</v>
      </c>
      <c r="F281" t="s">
        <v>13</v>
      </c>
      <c r="G281" t="s">
        <v>14</v>
      </c>
      <c r="H281" t="s">
        <v>14</v>
      </c>
      <c r="I281" t="s">
        <v>14</v>
      </c>
      <c r="J281" t="s">
        <v>14</v>
      </c>
      <c r="K281">
        <v>0</v>
      </c>
      <c r="L281" t="s">
        <v>14</v>
      </c>
      <c r="M281" t="s">
        <v>15</v>
      </c>
    </row>
    <row r="282" spans="1:13">
      <c r="A282">
        <v>4270000</v>
      </c>
      <c r="B282">
        <v>6360</v>
      </c>
      <c r="C282">
        <v>2</v>
      </c>
      <c r="D282">
        <v>1</v>
      </c>
      <c r="E282">
        <v>2</v>
      </c>
      <c r="F282" t="s">
        <v>13</v>
      </c>
      <c r="G282" t="s">
        <v>14</v>
      </c>
      <c r="H282" t="s">
        <v>14</v>
      </c>
      <c r="I282" t="s">
        <v>14</v>
      </c>
      <c r="J282" t="s">
        <v>14</v>
      </c>
      <c r="K282">
        <v>0</v>
      </c>
      <c r="L282" t="s">
        <v>14</v>
      </c>
      <c r="M282" t="s">
        <v>17</v>
      </c>
    </row>
    <row r="283" spans="1:13">
      <c r="A283">
        <v>4270000</v>
      </c>
      <c r="B283">
        <v>4500</v>
      </c>
      <c r="C283">
        <v>2</v>
      </c>
      <c r="D283">
        <v>1</v>
      </c>
      <c r="E283">
        <v>1</v>
      </c>
      <c r="F283" t="s">
        <v>13</v>
      </c>
      <c r="G283" t="s">
        <v>14</v>
      </c>
      <c r="H283" t="s">
        <v>14</v>
      </c>
      <c r="I283" t="s">
        <v>14</v>
      </c>
      <c r="J283" t="s">
        <v>13</v>
      </c>
      <c r="K283">
        <v>2</v>
      </c>
      <c r="L283" t="s">
        <v>14</v>
      </c>
      <c r="M283" t="s">
        <v>15</v>
      </c>
    </row>
    <row r="284" spans="1:13">
      <c r="A284">
        <v>4270000</v>
      </c>
      <c r="B284">
        <v>2175</v>
      </c>
      <c r="C284">
        <v>3</v>
      </c>
      <c r="D284">
        <v>1</v>
      </c>
      <c r="E284">
        <v>2</v>
      </c>
      <c r="F284" t="s">
        <v>14</v>
      </c>
      <c r="G284" t="s">
        <v>13</v>
      </c>
      <c r="H284" t="s">
        <v>13</v>
      </c>
      <c r="I284" t="s">
        <v>14</v>
      </c>
      <c r="J284" t="s">
        <v>13</v>
      </c>
      <c r="K284">
        <v>0</v>
      </c>
      <c r="L284" t="s">
        <v>14</v>
      </c>
      <c r="M284" t="s">
        <v>17</v>
      </c>
    </row>
    <row r="285" spans="1:13">
      <c r="A285">
        <v>4270000</v>
      </c>
      <c r="B285">
        <v>4360</v>
      </c>
      <c r="C285">
        <v>4</v>
      </c>
      <c r="D285">
        <v>1</v>
      </c>
      <c r="E285">
        <v>2</v>
      </c>
      <c r="F285" t="s">
        <v>13</v>
      </c>
      <c r="G285" t="s">
        <v>14</v>
      </c>
      <c r="H285" t="s">
        <v>14</v>
      </c>
      <c r="I285" t="s">
        <v>14</v>
      </c>
      <c r="J285" t="s">
        <v>14</v>
      </c>
      <c r="K285">
        <v>0</v>
      </c>
      <c r="L285" t="s">
        <v>14</v>
      </c>
      <c r="M285" t="s">
        <v>15</v>
      </c>
    </row>
    <row r="286" spans="1:13">
      <c r="A286">
        <v>4270000</v>
      </c>
      <c r="B286">
        <v>7770</v>
      </c>
      <c r="C286">
        <v>2</v>
      </c>
      <c r="D286">
        <v>1</v>
      </c>
      <c r="E286">
        <v>1</v>
      </c>
      <c r="F286" t="s">
        <v>13</v>
      </c>
      <c r="G286" t="s">
        <v>14</v>
      </c>
      <c r="H286" t="s">
        <v>14</v>
      </c>
      <c r="I286" t="s">
        <v>14</v>
      </c>
      <c r="J286" t="s">
        <v>14</v>
      </c>
      <c r="K286">
        <v>1</v>
      </c>
      <c r="L286" t="s">
        <v>14</v>
      </c>
      <c r="M286" t="s">
        <v>15</v>
      </c>
    </row>
    <row r="287" spans="1:13">
      <c r="A287">
        <v>4235000</v>
      </c>
      <c r="B287">
        <v>6650</v>
      </c>
      <c r="C287">
        <v>3</v>
      </c>
      <c r="D287">
        <v>1</v>
      </c>
      <c r="E287">
        <v>2</v>
      </c>
      <c r="F287" t="s">
        <v>13</v>
      </c>
      <c r="G287" t="s">
        <v>13</v>
      </c>
      <c r="H287" t="s">
        <v>14</v>
      </c>
      <c r="I287" t="s">
        <v>14</v>
      </c>
      <c r="J287" t="s">
        <v>14</v>
      </c>
      <c r="K287">
        <v>0</v>
      </c>
      <c r="L287" t="s">
        <v>14</v>
      </c>
      <c r="M287" t="s">
        <v>16</v>
      </c>
    </row>
    <row r="288" spans="1:13">
      <c r="A288">
        <v>4235000</v>
      </c>
      <c r="B288">
        <v>2787</v>
      </c>
      <c r="C288">
        <v>3</v>
      </c>
      <c r="D288">
        <v>1</v>
      </c>
      <c r="E288">
        <v>1</v>
      </c>
      <c r="F288" t="s">
        <v>13</v>
      </c>
      <c r="G288" t="s">
        <v>14</v>
      </c>
      <c r="H288" t="s">
        <v>13</v>
      </c>
      <c r="I288" t="s">
        <v>14</v>
      </c>
      <c r="J288" t="s">
        <v>14</v>
      </c>
      <c r="K288">
        <v>0</v>
      </c>
      <c r="L288" t="s">
        <v>13</v>
      </c>
      <c r="M288" t="s">
        <v>15</v>
      </c>
    </row>
    <row r="289" spans="1:13">
      <c r="A289">
        <v>4200000</v>
      </c>
      <c r="B289">
        <v>5500</v>
      </c>
      <c r="C289">
        <v>3</v>
      </c>
      <c r="D289">
        <v>1</v>
      </c>
      <c r="E289">
        <v>2</v>
      </c>
      <c r="F289" t="s">
        <v>13</v>
      </c>
      <c r="G289" t="s">
        <v>14</v>
      </c>
      <c r="H289" t="s">
        <v>14</v>
      </c>
      <c r="I289" t="s">
        <v>14</v>
      </c>
      <c r="J289" t="s">
        <v>13</v>
      </c>
      <c r="K289">
        <v>0</v>
      </c>
      <c r="L289" t="s">
        <v>14</v>
      </c>
      <c r="M289" t="s">
        <v>17</v>
      </c>
    </row>
    <row r="290" spans="1:13">
      <c r="A290">
        <v>4200000</v>
      </c>
      <c r="B290">
        <v>5040</v>
      </c>
      <c r="C290">
        <v>3</v>
      </c>
      <c r="D290">
        <v>1</v>
      </c>
      <c r="E290">
        <v>2</v>
      </c>
      <c r="F290" t="s">
        <v>13</v>
      </c>
      <c r="G290" t="s">
        <v>14</v>
      </c>
      <c r="H290" t="s">
        <v>13</v>
      </c>
      <c r="I290" t="s">
        <v>14</v>
      </c>
      <c r="J290" t="s">
        <v>13</v>
      </c>
      <c r="K290">
        <v>0</v>
      </c>
      <c r="L290" t="s">
        <v>14</v>
      </c>
      <c r="M290" t="s">
        <v>17</v>
      </c>
    </row>
    <row r="291" spans="1:13">
      <c r="A291">
        <v>4200000</v>
      </c>
      <c r="B291">
        <v>5850</v>
      </c>
      <c r="C291">
        <v>2</v>
      </c>
      <c r="D291">
        <v>1</v>
      </c>
      <c r="E291">
        <v>1</v>
      </c>
      <c r="F291" t="s">
        <v>13</v>
      </c>
      <c r="G291" t="s">
        <v>13</v>
      </c>
      <c r="H291" t="s">
        <v>13</v>
      </c>
      <c r="I291" t="s">
        <v>14</v>
      </c>
      <c r="J291" t="s">
        <v>14</v>
      </c>
      <c r="K291">
        <v>2</v>
      </c>
      <c r="L291" t="s">
        <v>14</v>
      </c>
      <c r="M291" t="s">
        <v>16</v>
      </c>
    </row>
    <row r="292" spans="1:13">
      <c r="A292">
        <v>4200000</v>
      </c>
      <c r="B292">
        <v>2610</v>
      </c>
      <c r="C292">
        <v>4</v>
      </c>
      <c r="D292">
        <v>3</v>
      </c>
      <c r="E292">
        <v>2</v>
      </c>
      <c r="F292" t="s">
        <v>14</v>
      </c>
      <c r="G292" t="s">
        <v>14</v>
      </c>
      <c r="H292" t="s">
        <v>14</v>
      </c>
      <c r="I292" t="s">
        <v>14</v>
      </c>
      <c r="J292" t="s">
        <v>14</v>
      </c>
      <c r="K292">
        <v>0</v>
      </c>
      <c r="L292" t="s">
        <v>14</v>
      </c>
      <c r="M292" t="s">
        <v>16</v>
      </c>
    </row>
    <row r="293" spans="1:13">
      <c r="A293">
        <v>4200000</v>
      </c>
      <c r="B293">
        <v>2953</v>
      </c>
      <c r="C293">
        <v>3</v>
      </c>
      <c r="D293">
        <v>1</v>
      </c>
      <c r="E293">
        <v>2</v>
      </c>
      <c r="F293" t="s">
        <v>13</v>
      </c>
      <c r="G293" t="s">
        <v>14</v>
      </c>
      <c r="H293" t="s">
        <v>13</v>
      </c>
      <c r="I293" t="s">
        <v>14</v>
      </c>
      <c r="J293" t="s">
        <v>13</v>
      </c>
      <c r="K293">
        <v>0</v>
      </c>
      <c r="L293" t="s">
        <v>14</v>
      </c>
      <c r="M293" t="s">
        <v>17</v>
      </c>
    </row>
    <row r="294" spans="1:13">
      <c r="A294">
        <v>4200000</v>
      </c>
      <c r="B294">
        <v>2747</v>
      </c>
      <c r="C294">
        <v>4</v>
      </c>
      <c r="D294">
        <v>2</v>
      </c>
      <c r="E294">
        <v>2</v>
      </c>
      <c r="F294" t="s">
        <v>14</v>
      </c>
      <c r="G294" t="s">
        <v>14</v>
      </c>
      <c r="H294" t="s">
        <v>14</v>
      </c>
      <c r="I294" t="s">
        <v>14</v>
      </c>
      <c r="J294" t="s">
        <v>14</v>
      </c>
      <c r="K294">
        <v>0</v>
      </c>
      <c r="L294" t="s">
        <v>14</v>
      </c>
      <c r="M294" t="s">
        <v>16</v>
      </c>
    </row>
    <row r="295" spans="1:13">
      <c r="A295">
        <v>4200000</v>
      </c>
      <c r="B295">
        <v>4410</v>
      </c>
      <c r="C295">
        <v>2</v>
      </c>
      <c r="D295">
        <v>1</v>
      </c>
      <c r="E295">
        <v>1</v>
      </c>
      <c r="F295" t="s">
        <v>14</v>
      </c>
      <c r="G295" t="s">
        <v>14</v>
      </c>
      <c r="H295" t="s">
        <v>14</v>
      </c>
      <c r="I295" t="s">
        <v>14</v>
      </c>
      <c r="J295" t="s">
        <v>14</v>
      </c>
      <c r="K295">
        <v>1</v>
      </c>
      <c r="L295" t="s">
        <v>14</v>
      </c>
      <c r="M295" t="s">
        <v>17</v>
      </c>
    </row>
    <row r="296" spans="1:13">
      <c r="A296">
        <v>4200000</v>
      </c>
      <c r="B296">
        <v>4000</v>
      </c>
      <c r="C296">
        <v>4</v>
      </c>
      <c r="D296">
        <v>2</v>
      </c>
      <c r="E296">
        <v>2</v>
      </c>
      <c r="F296" t="s">
        <v>14</v>
      </c>
      <c r="G296" t="s">
        <v>14</v>
      </c>
      <c r="H296" t="s">
        <v>14</v>
      </c>
      <c r="I296" t="s">
        <v>14</v>
      </c>
      <c r="J296" t="s">
        <v>14</v>
      </c>
      <c r="K296">
        <v>0</v>
      </c>
      <c r="L296" t="s">
        <v>14</v>
      </c>
      <c r="M296" t="s">
        <v>16</v>
      </c>
    </row>
    <row r="297" spans="1:13">
      <c r="A297">
        <v>4200000</v>
      </c>
      <c r="B297">
        <v>2325</v>
      </c>
      <c r="C297">
        <v>3</v>
      </c>
      <c r="D297">
        <v>1</v>
      </c>
      <c r="E297">
        <v>2</v>
      </c>
      <c r="F297" t="s">
        <v>14</v>
      </c>
      <c r="G297" t="s">
        <v>14</v>
      </c>
      <c r="H297" t="s">
        <v>14</v>
      </c>
      <c r="I297" t="s">
        <v>14</v>
      </c>
      <c r="J297" t="s">
        <v>14</v>
      </c>
      <c r="K297">
        <v>0</v>
      </c>
      <c r="L297" t="s">
        <v>14</v>
      </c>
      <c r="M297" t="s">
        <v>16</v>
      </c>
    </row>
    <row r="298" spans="1:13">
      <c r="A298">
        <v>4200000</v>
      </c>
      <c r="B298">
        <v>4600</v>
      </c>
      <c r="C298">
        <v>3</v>
      </c>
      <c r="D298">
        <v>2</v>
      </c>
      <c r="E298">
        <v>2</v>
      </c>
      <c r="F298" t="s">
        <v>13</v>
      </c>
      <c r="G298" t="s">
        <v>14</v>
      </c>
      <c r="H298" t="s">
        <v>14</v>
      </c>
      <c r="I298" t="s">
        <v>14</v>
      </c>
      <c r="J298" t="s">
        <v>13</v>
      </c>
      <c r="K298">
        <v>1</v>
      </c>
      <c r="L298" t="s">
        <v>14</v>
      </c>
      <c r="M298" t="s">
        <v>16</v>
      </c>
    </row>
    <row r="299" spans="1:13">
      <c r="A299">
        <v>4200000</v>
      </c>
      <c r="B299">
        <v>3640</v>
      </c>
      <c r="C299">
        <v>3</v>
      </c>
      <c r="D299">
        <v>2</v>
      </c>
      <c r="E299">
        <v>2</v>
      </c>
      <c r="F299" t="s">
        <v>13</v>
      </c>
      <c r="G299" t="s">
        <v>14</v>
      </c>
      <c r="H299" t="s">
        <v>13</v>
      </c>
      <c r="I299" t="s">
        <v>14</v>
      </c>
      <c r="J299" t="s">
        <v>14</v>
      </c>
      <c r="K299">
        <v>0</v>
      </c>
      <c r="L299" t="s">
        <v>14</v>
      </c>
      <c r="M299" t="s">
        <v>17</v>
      </c>
    </row>
    <row r="300" spans="1:13">
      <c r="A300">
        <v>4200000</v>
      </c>
      <c r="B300">
        <v>5800</v>
      </c>
      <c r="C300">
        <v>3</v>
      </c>
      <c r="D300">
        <v>1</v>
      </c>
      <c r="E300">
        <v>1</v>
      </c>
      <c r="F300" t="s">
        <v>13</v>
      </c>
      <c r="G300" t="s">
        <v>14</v>
      </c>
      <c r="H300" t="s">
        <v>14</v>
      </c>
      <c r="I300" t="s">
        <v>13</v>
      </c>
      <c r="J300" t="s">
        <v>14</v>
      </c>
      <c r="K300">
        <v>2</v>
      </c>
      <c r="L300" t="s">
        <v>14</v>
      </c>
      <c r="M300" t="s">
        <v>16</v>
      </c>
    </row>
    <row r="301" spans="1:13">
      <c r="A301">
        <v>4200000</v>
      </c>
      <c r="B301">
        <v>7000</v>
      </c>
      <c r="C301">
        <v>3</v>
      </c>
      <c r="D301">
        <v>1</v>
      </c>
      <c r="E301">
        <v>1</v>
      </c>
      <c r="F301" t="s">
        <v>13</v>
      </c>
      <c r="G301" t="s">
        <v>14</v>
      </c>
      <c r="H301" t="s">
        <v>14</v>
      </c>
      <c r="I301" t="s">
        <v>14</v>
      </c>
      <c r="J301" t="s">
        <v>14</v>
      </c>
      <c r="K301">
        <v>3</v>
      </c>
      <c r="L301" t="s">
        <v>14</v>
      </c>
      <c r="M301" t="s">
        <v>15</v>
      </c>
    </row>
    <row r="302" spans="1:13">
      <c r="A302">
        <v>4200000</v>
      </c>
      <c r="B302">
        <v>4079</v>
      </c>
      <c r="C302">
        <v>3</v>
      </c>
      <c r="D302">
        <v>1</v>
      </c>
      <c r="E302">
        <v>3</v>
      </c>
      <c r="F302" t="s">
        <v>13</v>
      </c>
      <c r="G302" t="s">
        <v>14</v>
      </c>
      <c r="H302" t="s">
        <v>14</v>
      </c>
      <c r="I302" t="s">
        <v>14</v>
      </c>
      <c r="J302" t="s">
        <v>14</v>
      </c>
      <c r="K302">
        <v>0</v>
      </c>
      <c r="L302" t="s">
        <v>14</v>
      </c>
      <c r="M302" t="s">
        <v>16</v>
      </c>
    </row>
    <row r="303" spans="1:13">
      <c r="A303">
        <v>4200000</v>
      </c>
      <c r="B303">
        <v>3520</v>
      </c>
      <c r="C303">
        <v>3</v>
      </c>
      <c r="D303">
        <v>1</v>
      </c>
      <c r="E303">
        <v>2</v>
      </c>
      <c r="F303" t="s">
        <v>13</v>
      </c>
      <c r="G303" t="s">
        <v>14</v>
      </c>
      <c r="H303" t="s">
        <v>14</v>
      </c>
      <c r="I303" t="s">
        <v>14</v>
      </c>
      <c r="J303" t="s">
        <v>14</v>
      </c>
      <c r="K303">
        <v>0</v>
      </c>
      <c r="L303" t="s">
        <v>13</v>
      </c>
      <c r="M303" t="s">
        <v>16</v>
      </c>
    </row>
    <row r="304" spans="1:13">
      <c r="A304">
        <v>4200000</v>
      </c>
      <c r="B304">
        <v>2145</v>
      </c>
      <c r="C304">
        <v>3</v>
      </c>
      <c r="D304">
        <v>1</v>
      </c>
      <c r="E304">
        <v>3</v>
      </c>
      <c r="F304" t="s">
        <v>13</v>
      </c>
      <c r="G304" t="s">
        <v>14</v>
      </c>
      <c r="H304" t="s">
        <v>14</v>
      </c>
      <c r="I304" t="s">
        <v>14</v>
      </c>
      <c r="J304" t="s">
        <v>14</v>
      </c>
      <c r="K304">
        <v>1</v>
      </c>
      <c r="L304" t="s">
        <v>13</v>
      </c>
      <c r="M304" t="s">
        <v>17</v>
      </c>
    </row>
    <row r="305" spans="1:13">
      <c r="A305">
        <v>4200000</v>
      </c>
      <c r="B305">
        <v>4500</v>
      </c>
      <c r="C305">
        <v>3</v>
      </c>
      <c r="D305">
        <v>1</v>
      </c>
      <c r="E305">
        <v>1</v>
      </c>
      <c r="F305" t="s">
        <v>13</v>
      </c>
      <c r="G305" t="s">
        <v>14</v>
      </c>
      <c r="H305" t="s">
        <v>13</v>
      </c>
      <c r="I305" t="s">
        <v>14</v>
      </c>
      <c r="J305" t="s">
        <v>14</v>
      </c>
      <c r="K305">
        <v>0</v>
      </c>
      <c r="L305" t="s">
        <v>14</v>
      </c>
      <c r="M305" t="s">
        <v>15</v>
      </c>
    </row>
    <row r="306" spans="1:13">
      <c r="A306">
        <v>4193000</v>
      </c>
      <c r="B306">
        <v>8250</v>
      </c>
      <c r="C306">
        <v>3</v>
      </c>
      <c r="D306">
        <v>1</v>
      </c>
      <c r="E306">
        <v>1</v>
      </c>
      <c r="F306" t="s">
        <v>13</v>
      </c>
      <c r="G306" t="s">
        <v>14</v>
      </c>
      <c r="H306" t="s">
        <v>13</v>
      </c>
      <c r="I306" t="s">
        <v>14</v>
      </c>
      <c r="J306" t="s">
        <v>14</v>
      </c>
      <c r="K306">
        <v>3</v>
      </c>
      <c r="L306" t="s">
        <v>14</v>
      </c>
      <c r="M306" t="s">
        <v>16</v>
      </c>
    </row>
    <row r="307" spans="1:13">
      <c r="A307">
        <v>4193000</v>
      </c>
      <c r="B307">
        <v>3450</v>
      </c>
      <c r="C307">
        <v>3</v>
      </c>
      <c r="D307">
        <v>1</v>
      </c>
      <c r="E307">
        <v>2</v>
      </c>
      <c r="F307" t="s">
        <v>13</v>
      </c>
      <c r="G307" t="s">
        <v>14</v>
      </c>
      <c r="H307" t="s">
        <v>14</v>
      </c>
      <c r="I307" t="s">
        <v>14</v>
      </c>
      <c r="J307" t="s">
        <v>14</v>
      </c>
      <c r="K307">
        <v>1</v>
      </c>
      <c r="L307" t="s">
        <v>14</v>
      </c>
      <c r="M307" t="s">
        <v>16</v>
      </c>
    </row>
    <row r="308" spans="1:13">
      <c r="A308">
        <v>4165000</v>
      </c>
      <c r="B308">
        <v>4840</v>
      </c>
      <c r="C308">
        <v>3</v>
      </c>
      <c r="D308">
        <v>1</v>
      </c>
      <c r="E308">
        <v>2</v>
      </c>
      <c r="F308" t="s">
        <v>13</v>
      </c>
      <c r="G308" t="s">
        <v>14</v>
      </c>
      <c r="H308" t="s">
        <v>14</v>
      </c>
      <c r="I308" t="s">
        <v>14</v>
      </c>
      <c r="J308" t="s">
        <v>14</v>
      </c>
      <c r="K308">
        <v>1</v>
      </c>
      <c r="L308" t="s">
        <v>14</v>
      </c>
      <c r="M308" t="s">
        <v>16</v>
      </c>
    </row>
    <row r="309" spans="1:13">
      <c r="A309">
        <v>4165000</v>
      </c>
      <c r="B309">
        <v>4080</v>
      </c>
      <c r="C309">
        <v>3</v>
      </c>
      <c r="D309">
        <v>1</v>
      </c>
      <c r="E309">
        <v>2</v>
      </c>
      <c r="F309" t="s">
        <v>13</v>
      </c>
      <c r="G309" t="s">
        <v>14</v>
      </c>
      <c r="H309" t="s">
        <v>14</v>
      </c>
      <c r="I309" t="s">
        <v>14</v>
      </c>
      <c r="J309" t="s">
        <v>14</v>
      </c>
      <c r="K309">
        <v>2</v>
      </c>
      <c r="L309" t="s">
        <v>14</v>
      </c>
      <c r="M309" t="s">
        <v>16</v>
      </c>
    </row>
    <row r="310" spans="1:13">
      <c r="A310">
        <v>4165000</v>
      </c>
      <c r="B310">
        <v>4046</v>
      </c>
      <c r="C310">
        <v>3</v>
      </c>
      <c r="D310">
        <v>1</v>
      </c>
      <c r="E310">
        <v>2</v>
      </c>
      <c r="F310" t="s">
        <v>13</v>
      </c>
      <c r="G310" t="s">
        <v>14</v>
      </c>
      <c r="H310" t="s">
        <v>13</v>
      </c>
      <c r="I310" t="s">
        <v>14</v>
      </c>
      <c r="J310" t="s">
        <v>14</v>
      </c>
      <c r="K310">
        <v>1</v>
      </c>
      <c r="L310" t="s">
        <v>14</v>
      </c>
      <c r="M310" t="s">
        <v>16</v>
      </c>
    </row>
    <row r="311" spans="1:13">
      <c r="A311">
        <v>4130000</v>
      </c>
      <c r="B311">
        <v>4632</v>
      </c>
      <c r="C311">
        <v>4</v>
      </c>
      <c r="D311">
        <v>1</v>
      </c>
      <c r="E311">
        <v>2</v>
      </c>
      <c r="F311" t="s">
        <v>13</v>
      </c>
      <c r="G311" t="s">
        <v>14</v>
      </c>
      <c r="H311" t="s">
        <v>14</v>
      </c>
      <c r="I311" t="s">
        <v>14</v>
      </c>
      <c r="J311" t="s">
        <v>13</v>
      </c>
      <c r="K311">
        <v>0</v>
      </c>
      <c r="L311" t="s">
        <v>14</v>
      </c>
      <c r="M311" t="s">
        <v>16</v>
      </c>
    </row>
    <row r="312" spans="1:13">
      <c r="A312">
        <v>4130000</v>
      </c>
      <c r="B312">
        <v>5985</v>
      </c>
      <c r="C312">
        <v>3</v>
      </c>
      <c r="D312">
        <v>1</v>
      </c>
      <c r="E312">
        <v>1</v>
      </c>
      <c r="F312" t="s">
        <v>13</v>
      </c>
      <c r="G312" t="s">
        <v>14</v>
      </c>
      <c r="H312" t="s">
        <v>13</v>
      </c>
      <c r="I312" t="s">
        <v>14</v>
      </c>
      <c r="J312" t="s">
        <v>14</v>
      </c>
      <c r="K312">
        <v>0</v>
      </c>
      <c r="L312" t="s">
        <v>14</v>
      </c>
      <c r="M312" t="s">
        <v>16</v>
      </c>
    </row>
    <row r="313" spans="1:13">
      <c r="A313">
        <v>4123000</v>
      </c>
      <c r="B313">
        <v>6060</v>
      </c>
      <c r="C313">
        <v>2</v>
      </c>
      <c r="D313">
        <v>1</v>
      </c>
      <c r="E313">
        <v>1</v>
      </c>
      <c r="F313" t="s">
        <v>13</v>
      </c>
      <c r="G313" t="s">
        <v>14</v>
      </c>
      <c r="H313" t="s">
        <v>13</v>
      </c>
      <c r="I313" t="s">
        <v>14</v>
      </c>
      <c r="J313" t="s">
        <v>14</v>
      </c>
      <c r="K313">
        <v>1</v>
      </c>
      <c r="L313" t="s">
        <v>14</v>
      </c>
      <c r="M313" t="s">
        <v>16</v>
      </c>
    </row>
    <row r="314" spans="1:13">
      <c r="A314">
        <v>4098500</v>
      </c>
      <c r="B314">
        <v>3600</v>
      </c>
      <c r="C314">
        <v>3</v>
      </c>
      <c r="D314">
        <v>1</v>
      </c>
      <c r="E314">
        <v>1</v>
      </c>
      <c r="F314" t="s">
        <v>13</v>
      </c>
      <c r="G314" t="s">
        <v>14</v>
      </c>
      <c r="H314" t="s">
        <v>13</v>
      </c>
      <c r="I314" t="s">
        <v>14</v>
      </c>
      <c r="J314" t="s">
        <v>13</v>
      </c>
      <c r="K314">
        <v>0</v>
      </c>
      <c r="L314" t="s">
        <v>13</v>
      </c>
      <c r="M314" t="s">
        <v>15</v>
      </c>
    </row>
    <row r="315" spans="1:13">
      <c r="A315">
        <v>4095000</v>
      </c>
      <c r="B315">
        <v>3680</v>
      </c>
      <c r="C315">
        <v>3</v>
      </c>
      <c r="D315">
        <v>2</v>
      </c>
      <c r="E315">
        <v>2</v>
      </c>
      <c r="F315" t="s">
        <v>13</v>
      </c>
      <c r="G315" t="s">
        <v>14</v>
      </c>
      <c r="H315" t="s">
        <v>14</v>
      </c>
      <c r="I315" t="s">
        <v>14</v>
      </c>
      <c r="J315" t="s">
        <v>14</v>
      </c>
      <c r="K315">
        <v>0</v>
      </c>
      <c r="L315" t="s">
        <v>14</v>
      </c>
      <c r="M315" t="s">
        <v>16</v>
      </c>
    </row>
    <row r="316" spans="1:13">
      <c r="A316">
        <v>4095000</v>
      </c>
      <c r="B316">
        <v>4040</v>
      </c>
      <c r="C316">
        <v>2</v>
      </c>
      <c r="D316">
        <v>1</v>
      </c>
      <c r="E316">
        <v>2</v>
      </c>
      <c r="F316" t="s">
        <v>13</v>
      </c>
      <c r="G316" t="s">
        <v>14</v>
      </c>
      <c r="H316" t="s">
        <v>14</v>
      </c>
      <c r="I316" t="s">
        <v>14</v>
      </c>
      <c r="J316" t="s">
        <v>14</v>
      </c>
      <c r="K316">
        <v>1</v>
      </c>
      <c r="L316" t="s">
        <v>14</v>
      </c>
      <c r="M316" t="s">
        <v>16</v>
      </c>
    </row>
    <row r="317" spans="1:13">
      <c r="A317">
        <v>4095000</v>
      </c>
      <c r="B317">
        <v>5600</v>
      </c>
      <c r="C317">
        <v>2</v>
      </c>
      <c r="D317">
        <v>1</v>
      </c>
      <c r="E317">
        <v>1</v>
      </c>
      <c r="F317" t="s">
        <v>13</v>
      </c>
      <c r="G317" t="s">
        <v>14</v>
      </c>
      <c r="H317" t="s">
        <v>14</v>
      </c>
      <c r="I317" t="s">
        <v>14</v>
      </c>
      <c r="J317" t="s">
        <v>13</v>
      </c>
      <c r="K317">
        <v>0</v>
      </c>
      <c r="L317" t="s">
        <v>14</v>
      </c>
      <c r="M317" t="s">
        <v>16</v>
      </c>
    </row>
    <row r="318" spans="1:13">
      <c r="A318">
        <v>4060000</v>
      </c>
      <c r="B318">
        <v>5900</v>
      </c>
      <c r="C318">
        <v>4</v>
      </c>
      <c r="D318">
        <v>2</v>
      </c>
      <c r="E318">
        <v>2</v>
      </c>
      <c r="F318" t="s">
        <v>14</v>
      </c>
      <c r="G318" t="s">
        <v>14</v>
      </c>
      <c r="H318" t="s">
        <v>13</v>
      </c>
      <c r="I318" t="s">
        <v>14</v>
      </c>
      <c r="J318" t="s">
        <v>14</v>
      </c>
      <c r="K318">
        <v>1</v>
      </c>
      <c r="L318" t="s">
        <v>14</v>
      </c>
      <c r="M318" t="s">
        <v>17</v>
      </c>
    </row>
    <row r="319" spans="1:13">
      <c r="A319">
        <v>4060000</v>
      </c>
      <c r="B319">
        <v>4992</v>
      </c>
      <c r="C319">
        <v>3</v>
      </c>
      <c r="D319">
        <v>2</v>
      </c>
      <c r="E319">
        <v>2</v>
      </c>
      <c r="F319" t="s">
        <v>13</v>
      </c>
      <c r="G319" t="s">
        <v>14</v>
      </c>
      <c r="H319" t="s">
        <v>14</v>
      </c>
      <c r="I319" t="s">
        <v>14</v>
      </c>
      <c r="J319" t="s">
        <v>14</v>
      </c>
      <c r="K319">
        <v>2</v>
      </c>
      <c r="L319" t="s">
        <v>14</v>
      </c>
      <c r="M319" t="s">
        <v>17</v>
      </c>
    </row>
    <row r="320" spans="1:13">
      <c r="A320">
        <v>4060000</v>
      </c>
      <c r="B320">
        <v>4340</v>
      </c>
      <c r="C320">
        <v>3</v>
      </c>
      <c r="D320">
        <v>1</v>
      </c>
      <c r="E320">
        <v>1</v>
      </c>
      <c r="F320" t="s">
        <v>13</v>
      </c>
      <c r="G320" t="s">
        <v>14</v>
      </c>
      <c r="H320" t="s">
        <v>14</v>
      </c>
      <c r="I320" t="s">
        <v>14</v>
      </c>
      <c r="J320" t="s">
        <v>14</v>
      </c>
      <c r="K320">
        <v>0</v>
      </c>
      <c r="L320" t="s">
        <v>14</v>
      </c>
      <c r="M320" t="s">
        <v>16</v>
      </c>
    </row>
    <row r="321" spans="1:13">
      <c r="A321">
        <v>4060000</v>
      </c>
      <c r="B321">
        <v>3000</v>
      </c>
      <c r="C321">
        <v>4</v>
      </c>
      <c r="D321">
        <v>1</v>
      </c>
      <c r="E321">
        <v>3</v>
      </c>
      <c r="F321" t="s">
        <v>13</v>
      </c>
      <c r="G321" t="s">
        <v>14</v>
      </c>
      <c r="H321" t="s">
        <v>13</v>
      </c>
      <c r="I321" t="s">
        <v>14</v>
      </c>
      <c r="J321" t="s">
        <v>13</v>
      </c>
      <c r="K321">
        <v>2</v>
      </c>
      <c r="L321" t="s">
        <v>14</v>
      </c>
      <c r="M321" t="s">
        <v>16</v>
      </c>
    </row>
    <row r="322" spans="1:13">
      <c r="A322">
        <v>4060000</v>
      </c>
      <c r="B322">
        <v>4320</v>
      </c>
      <c r="C322">
        <v>3</v>
      </c>
      <c r="D322">
        <v>1</v>
      </c>
      <c r="E322">
        <v>2</v>
      </c>
      <c r="F322" t="s">
        <v>13</v>
      </c>
      <c r="G322" t="s">
        <v>14</v>
      </c>
      <c r="H322" t="s">
        <v>14</v>
      </c>
      <c r="I322" t="s">
        <v>14</v>
      </c>
      <c r="J322" t="s">
        <v>14</v>
      </c>
      <c r="K322">
        <v>2</v>
      </c>
      <c r="L322" t="s">
        <v>13</v>
      </c>
      <c r="M322" t="s">
        <v>15</v>
      </c>
    </row>
    <row r="323" spans="1:13">
      <c r="A323">
        <v>4025000</v>
      </c>
      <c r="B323">
        <v>3630</v>
      </c>
      <c r="C323">
        <v>3</v>
      </c>
      <c r="D323">
        <v>2</v>
      </c>
      <c r="E323">
        <v>2</v>
      </c>
      <c r="F323" t="s">
        <v>13</v>
      </c>
      <c r="G323" t="s">
        <v>14</v>
      </c>
      <c r="H323" t="s">
        <v>14</v>
      </c>
      <c r="I323" t="s">
        <v>13</v>
      </c>
      <c r="J323" t="s">
        <v>14</v>
      </c>
      <c r="K323">
        <v>2</v>
      </c>
      <c r="L323" t="s">
        <v>14</v>
      </c>
      <c r="M323" t="s">
        <v>16</v>
      </c>
    </row>
    <row r="324" spans="1:13">
      <c r="A324">
        <v>4025000</v>
      </c>
      <c r="B324">
        <v>3460</v>
      </c>
      <c r="C324">
        <v>3</v>
      </c>
      <c r="D324">
        <v>2</v>
      </c>
      <c r="E324">
        <v>1</v>
      </c>
      <c r="F324" t="s">
        <v>13</v>
      </c>
      <c r="G324" t="s">
        <v>14</v>
      </c>
      <c r="H324" t="s">
        <v>13</v>
      </c>
      <c r="I324" t="s">
        <v>14</v>
      </c>
      <c r="J324" t="s">
        <v>13</v>
      </c>
      <c r="K324">
        <v>1</v>
      </c>
      <c r="L324" t="s">
        <v>14</v>
      </c>
      <c r="M324" t="s">
        <v>15</v>
      </c>
    </row>
    <row r="325" spans="1:13">
      <c r="A325">
        <v>4025000</v>
      </c>
      <c r="B325">
        <v>5400</v>
      </c>
      <c r="C325">
        <v>3</v>
      </c>
      <c r="D325">
        <v>1</v>
      </c>
      <c r="E325">
        <v>1</v>
      </c>
      <c r="F325" t="s">
        <v>13</v>
      </c>
      <c r="G325" t="s">
        <v>14</v>
      </c>
      <c r="H325" t="s">
        <v>14</v>
      </c>
      <c r="I325" t="s">
        <v>14</v>
      </c>
      <c r="J325" t="s">
        <v>14</v>
      </c>
      <c r="K325">
        <v>3</v>
      </c>
      <c r="L325" t="s">
        <v>14</v>
      </c>
      <c r="M325" t="s">
        <v>16</v>
      </c>
    </row>
    <row r="326" spans="1:13">
      <c r="A326">
        <v>4007500</v>
      </c>
      <c r="B326">
        <v>4500</v>
      </c>
      <c r="C326">
        <v>3</v>
      </c>
      <c r="D326">
        <v>1</v>
      </c>
      <c r="E326">
        <v>2</v>
      </c>
      <c r="F326" t="s">
        <v>14</v>
      </c>
      <c r="G326" t="s">
        <v>14</v>
      </c>
      <c r="H326" t="s">
        <v>13</v>
      </c>
      <c r="I326" t="s">
        <v>14</v>
      </c>
      <c r="J326" t="s">
        <v>13</v>
      </c>
      <c r="K326">
        <v>0</v>
      </c>
      <c r="L326" t="s">
        <v>14</v>
      </c>
      <c r="M326" t="s">
        <v>16</v>
      </c>
    </row>
    <row r="327" spans="1:13">
      <c r="A327">
        <v>4007500</v>
      </c>
      <c r="B327">
        <v>3460</v>
      </c>
      <c r="C327">
        <v>4</v>
      </c>
      <c r="D327">
        <v>1</v>
      </c>
      <c r="E327">
        <v>2</v>
      </c>
      <c r="F327" t="s">
        <v>13</v>
      </c>
      <c r="G327" t="s">
        <v>14</v>
      </c>
      <c r="H327" t="s">
        <v>14</v>
      </c>
      <c r="I327" t="s">
        <v>14</v>
      </c>
      <c r="J327" t="s">
        <v>13</v>
      </c>
      <c r="K327">
        <v>0</v>
      </c>
      <c r="L327" t="s">
        <v>14</v>
      </c>
      <c r="M327" t="s">
        <v>16</v>
      </c>
    </row>
    <row r="328" spans="1:13">
      <c r="A328">
        <v>3990000</v>
      </c>
      <c r="B328">
        <v>4100</v>
      </c>
      <c r="C328">
        <v>4</v>
      </c>
      <c r="D328">
        <v>1</v>
      </c>
      <c r="E328">
        <v>1</v>
      </c>
      <c r="F328" t="s">
        <v>14</v>
      </c>
      <c r="G328" t="s">
        <v>14</v>
      </c>
      <c r="H328" t="s">
        <v>13</v>
      </c>
      <c r="I328" t="s">
        <v>14</v>
      </c>
      <c r="J328" t="s">
        <v>14</v>
      </c>
      <c r="K328">
        <v>0</v>
      </c>
      <c r="L328" t="s">
        <v>14</v>
      </c>
      <c r="M328" t="s">
        <v>17</v>
      </c>
    </row>
    <row r="329" spans="1:13">
      <c r="A329">
        <v>3990000</v>
      </c>
      <c r="B329">
        <v>6480</v>
      </c>
      <c r="C329">
        <v>3</v>
      </c>
      <c r="D329">
        <v>1</v>
      </c>
      <c r="E329">
        <v>2</v>
      </c>
      <c r="F329" t="s">
        <v>14</v>
      </c>
      <c r="G329" t="s">
        <v>14</v>
      </c>
      <c r="H329" t="s">
        <v>14</v>
      </c>
      <c r="I329" t="s">
        <v>14</v>
      </c>
      <c r="J329" t="s">
        <v>13</v>
      </c>
      <c r="K329">
        <v>1</v>
      </c>
      <c r="L329" t="s">
        <v>14</v>
      </c>
      <c r="M329" t="s">
        <v>16</v>
      </c>
    </row>
    <row r="330" spans="1:13">
      <c r="A330">
        <v>3990000</v>
      </c>
      <c r="B330">
        <v>4500</v>
      </c>
      <c r="C330">
        <v>3</v>
      </c>
      <c r="D330">
        <v>2</v>
      </c>
      <c r="E330">
        <v>2</v>
      </c>
      <c r="F330" t="s">
        <v>14</v>
      </c>
      <c r="G330" t="s">
        <v>14</v>
      </c>
      <c r="H330" t="s">
        <v>13</v>
      </c>
      <c r="I330" t="s">
        <v>14</v>
      </c>
      <c r="J330" t="s">
        <v>13</v>
      </c>
      <c r="K330">
        <v>0</v>
      </c>
      <c r="L330" t="s">
        <v>14</v>
      </c>
      <c r="M330" t="s">
        <v>16</v>
      </c>
    </row>
    <row r="331" spans="1:13">
      <c r="A331">
        <v>3990000</v>
      </c>
      <c r="B331">
        <v>3960</v>
      </c>
      <c r="C331">
        <v>3</v>
      </c>
      <c r="D331">
        <v>1</v>
      </c>
      <c r="E331">
        <v>2</v>
      </c>
      <c r="F331" t="s">
        <v>13</v>
      </c>
      <c r="G331" t="s">
        <v>14</v>
      </c>
      <c r="H331" t="s">
        <v>14</v>
      </c>
      <c r="I331" t="s">
        <v>14</v>
      </c>
      <c r="J331" t="s">
        <v>14</v>
      </c>
      <c r="K331">
        <v>0</v>
      </c>
      <c r="L331" t="s">
        <v>14</v>
      </c>
      <c r="M331" t="s">
        <v>15</v>
      </c>
    </row>
    <row r="332" spans="1:13">
      <c r="A332">
        <v>3990000</v>
      </c>
      <c r="B332">
        <v>4050</v>
      </c>
      <c r="C332">
        <v>2</v>
      </c>
      <c r="D332">
        <v>1</v>
      </c>
      <c r="E332">
        <v>2</v>
      </c>
      <c r="F332" t="s">
        <v>13</v>
      </c>
      <c r="G332" t="s">
        <v>13</v>
      </c>
      <c r="H332" t="s">
        <v>13</v>
      </c>
      <c r="I332" t="s">
        <v>14</v>
      </c>
      <c r="J332" t="s">
        <v>14</v>
      </c>
      <c r="K332">
        <v>0</v>
      </c>
      <c r="L332" t="s">
        <v>13</v>
      </c>
      <c r="M332" t="s">
        <v>17</v>
      </c>
    </row>
    <row r="333" spans="1:13">
      <c r="A333">
        <v>3920000</v>
      </c>
      <c r="B333">
        <v>7260</v>
      </c>
      <c r="C333">
        <v>3</v>
      </c>
      <c r="D333">
        <v>2</v>
      </c>
      <c r="E333">
        <v>1</v>
      </c>
      <c r="F333" t="s">
        <v>13</v>
      </c>
      <c r="G333" t="s">
        <v>13</v>
      </c>
      <c r="H333" t="s">
        <v>13</v>
      </c>
      <c r="I333" t="s">
        <v>14</v>
      </c>
      <c r="J333" t="s">
        <v>14</v>
      </c>
      <c r="K333">
        <v>3</v>
      </c>
      <c r="L333" t="s">
        <v>14</v>
      </c>
      <c r="M333" t="s">
        <v>15</v>
      </c>
    </row>
    <row r="334" spans="1:13">
      <c r="A334">
        <v>3920000</v>
      </c>
      <c r="B334">
        <v>5500</v>
      </c>
      <c r="C334">
        <v>4</v>
      </c>
      <c r="D334">
        <v>1</v>
      </c>
      <c r="E334">
        <v>2</v>
      </c>
      <c r="F334" t="s">
        <v>13</v>
      </c>
      <c r="G334" t="s">
        <v>13</v>
      </c>
      <c r="H334" t="s">
        <v>13</v>
      </c>
      <c r="I334" t="s">
        <v>14</v>
      </c>
      <c r="J334" t="s">
        <v>14</v>
      </c>
      <c r="K334">
        <v>0</v>
      </c>
      <c r="L334" t="s">
        <v>14</v>
      </c>
      <c r="M334" t="s">
        <v>16</v>
      </c>
    </row>
    <row r="335" spans="1:13">
      <c r="A335">
        <v>3920000</v>
      </c>
      <c r="B335">
        <v>3000</v>
      </c>
      <c r="C335">
        <v>3</v>
      </c>
      <c r="D335">
        <v>1</v>
      </c>
      <c r="E335">
        <v>2</v>
      </c>
      <c r="F335" t="s">
        <v>13</v>
      </c>
      <c r="G335" t="s">
        <v>14</v>
      </c>
      <c r="H335" t="s">
        <v>14</v>
      </c>
      <c r="I335" t="s">
        <v>14</v>
      </c>
      <c r="J335" t="s">
        <v>14</v>
      </c>
      <c r="K335">
        <v>0</v>
      </c>
      <c r="L335" t="s">
        <v>14</v>
      </c>
      <c r="M335" t="s">
        <v>16</v>
      </c>
    </row>
    <row r="336" spans="1:13">
      <c r="A336">
        <v>3920000</v>
      </c>
      <c r="B336">
        <v>3290</v>
      </c>
      <c r="C336">
        <v>2</v>
      </c>
      <c r="D336">
        <v>1</v>
      </c>
      <c r="E336">
        <v>1</v>
      </c>
      <c r="F336" t="s">
        <v>13</v>
      </c>
      <c r="G336" t="s">
        <v>14</v>
      </c>
      <c r="H336" t="s">
        <v>14</v>
      </c>
      <c r="I336" t="s">
        <v>13</v>
      </c>
      <c r="J336" t="s">
        <v>14</v>
      </c>
      <c r="K336">
        <v>1</v>
      </c>
      <c r="L336" t="s">
        <v>14</v>
      </c>
      <c r="M336" t="s">
        <v>15</v>
      </c>
    </row>
    <row r="337" spans="1:13">
      <c r="A337">
        <v>3920000</v>
      </c>
      <c r="B337">
        <v>3816</v>
      </c>
      <c r="C337">
        <v>2</v>
      </c>
      <c r="D337">
        <v>1</v>
      </c>
      <c r="E337">
        <v>1</v>
      </c>
      <c r="F337" t="s">
        <v>13</v>
      </c>
      <c r="G337" t="s">
        <v>14</v>
      </c>
      <c r="H337" t="s">
        <v>13</v>
      </c>
      <c r="I337" t="s">
        <v>14</v>
      </c>
      <c r="J337" t="s">
        <v>13</v>
      </c>
      <c r="K337">
        <v>2</v>
      </c>
      <c r="L337" t="s">
        <v>14</v>
      </c>
      <c r="M337" t="s">
        <v>15</v>
      </c>
    </row>
    <row r="338" spans="1:13">
      <c r="A338">
        <v>3920000</v>
      </c>
      <c r="B338">
        <v>8080</v>
      </c>
      <c r="C338">
        <v>3</v>
      </c>
      <c r="D338">
        <v>1</v>
      </c>
      <c r="E338">
        <v>1</v>
      </c>
      <c r="F338" t="s">
        <v>13</v>
      </c>
      <c r="G338" t="s">
        <v>14</v>
      </c>
      <c r="H338" t="s">
        <v>14</v>
      </c>
      <c r="I338" t="s">
        <v>14</v>
      </c>
      <c r="J338" t="s">
        <v>13</v>
      </c>
      <c r="K338">
        <v>2</v>
      </c>
      <c r="L338" t="s">
        <v>14</v>
      </c>
      <c r="M338" t="s">
        <v>16</v>
      </c>
    </row>
    <row r="339" spans="1:13">
      <c r="A339">
        <v>3920000</v>
      </c>
      <c r="B339">
        <v>2145</v>
      </c>
      <c r="C339">
        <v>4</v>
      </c>
      <c r="D339">
        <v>2</v>
      </c>
      <c r="E339">
        <v>1</v>
      </c>
      <c r="F339" t="s">
        <v>13</v>
      </c>
      <c r="G339" t="s">
        <v>14</v>
      </c>
      <c r="H339" t="s">
        <v>13</v>
      </c>
      <c r="I339" t="s">
        <v>14</v>
      </c>
      <c r="J339" t="s">
        <v>14</v>
      </c>
      <c r="K339">
        <v>0</v>
      </c>
      <c r="L339" t="s">
        <v>13</v>
      </c>
      <c r="M339" t="s">
        <v>17</v>
      </c>
    </row>
    <row r="340" spans="1:13">
      <c r="A340">
        <v>3885000</v>
      </c>
      <c r="B340">
        <v>3780</v>
      </c>
      <c r="C340">
        <v>2</v>
      </c>
      <c r="D340">
        <v>1</v>
      </c>
      <c r="E340">
        <v>2</v>
      </c>
      <c r="F340" t="s">
        <v>13</v>
      </c>
      <c r="G340" t="s">
        <v>13</v>
      </c>
      <c r="H340" t="s">
        <v>13</v>
      </c>
      <c r="I340" t="s">
        <v>14</v>
      </c>
      <c r="J340" t="s">
        <v>14</v>
      </c>
      <c r="K340">
        <v>0</v>
      </c>
      <c r="L340" t="s">
        <v>14</v>
      </c>
      <c r="M340" t="s">
        <v>16</v>
      </c>
    </row>
    <row r="341" spans="1:13">
      <c r="A341">
        <v>3885000</v>
      </c>
      <c r="B341">
        <v>3180</v>
      </c>
      <c r="C341">
        <v>4</v>
      </c>
      <c r="D341">
        <v>2</v>
      </c>
      <c r="E341">
        <v>2</v>
      </c>
      <c r="F341" t="s">
        <v>13</v>
      </c>
      <c r="G341" t="s">
        <v>14</v>
      </c>
      <c r="H341" t="s">
        <v>14</v>
      </c>
      <c r="I341" t="s">
        <v>14</v>
      </c>
      <c r="J341" t="s">
        <v>14</v>
      </c>
      <c r="K341">
        <v>0</v>
      </c>
      <c r="L341" t="s">
        <v>14</v>
      </c>
      <c r="M341" t="s">
        <v>15</v>
      </c>
    </row>
    <row r="342" spans="1:13">
      <c r="A342">
        <v>3850000</v>
      </c>
      <c r="B342">
        <v>5300</v>
      </c>
      <c r="C342">
        <v>5</v>
      </c>
      <c r="D342">
        <v>2</v>
      </c>
      <c r="E342">
        <v>2</v>
      </c>
      <c r="F342" t="s">
        <v>13</v>
      </c>
      <c r="G342" t="s">
        <v>14</v>
      </c>
      <c r="H342" t="s">
        <v>14</v>
      </c>
      <c r="I342" t="s">
        <v>14</v>
      </c>
      <c r="J342" t="s">
        <v>14</v>
      </c>
      <c r="K342">
        <v>0</v>
      </c>
      <c r="L342" t="s">
        <v>14</v>
      </c>
      <c r="M342" t="s">
        <v>16</v>
      </c>
    </row>
    <row r="343" spans="1:13">
      <c r="A343">
        <v>3850000</v>
      </c>
      <c r="B343">
        <v>3180</v>
      </c>
      <c r="C343">
        <v>2</v>
      </c>
      <c r="D343">
        <v>2</v>
      </c>
      <c r="E343">
        <v>1</v>
      </c>
      <c r="F343" t="s">
        <v>13</v>
      </c>
      <c r="G343" t="s">
        <v>14</v>
      </c>
      <c r="H343" t="s">
        <v>13</v>
      </c>
      <c r="I343" t="s">
        <v>14</v>
      </c>
      <c r="J343" t="s">
        <v>14</v>
      </c>
      <c r="K343">
        <v>2</v>
      </c>
      <c r="L343" t="s">
        <v>14</v>
      </c>
      <c r="M343" t="s">
        <v>16</v>
      </c>
    </row>
    <row r="344" spans="1:13">
      <c r="A344">
        <v>3850000</v>
      </c>
      <c r="B344">
        <v>7152</v>
      </c>
      <c r="C344">
        <v>3</v>
      </c>
      <c r="D344">
        <v>1</v>
      </c>
      <c r="E344">
        <v>2</v>
      </c>
      <c r="F344" t="s">
        <v>13</v>
      </c>
      <c r="G344" t="s">
        <v>14</v>
      </c>
      <c r="H344" t="s">
        <v>14</v>
      </c>
      <c r="I344" t="s">
        <v>14</v>
      </c>
      <c r="J344" t="s">
        <v>13</v>
      </c>
      <c r="K344">
        <v>0</v>
      </c>
      <c r="L344" t="s">
        <v>14</v>
      </c>
      <c r="M344" t="s">
        <v>15</v>
      </c>
    </row>
    <row r="345" spans="1:13">
      <c r="A345">
        <v>3850000</v>
      </c>
      <c r="B345">
        <v>4080</v>
      </c>
      <c r="C345">
        <v>2</v>
      </c>
      <c r="D345">
        <v>1</v>
      </c>
      <c r="E345">
        <v>1</v>
      </c>
      <c r="F345" t="s">
        <v>13</v>
      </c>
      <c r="G345" t="s">
        <v>14</v>
      </c>
      <c r="H345" t="s">
        <v>14</v>
      </c>
      <c r="I345" t="s">
        <v>14</v>
      </c>
      <c r="J345" t="s">
        <v>14</v>
      </c>
      <c r="K345">
        <v>0</v>
      </c>
      <c r="L345" t="s">
        <v>14</v>
      </c>
      <c r="M345" t="s">
        <v>16</v>
      </c>
    </row>
    <row r="346" spans="1:13">
      <c r="A346">
        <v>3850000</v>
      </c>
      <c r="B346">
        <v>3850</v>
      </c>
      <c r="C346">
        <v>2</v>
      </c>
      <c r="D346">
        <v>1</v>
      </c>
      <c r="E346">
        <v>1</v>
      </c>
      <c r="F346" t="s">
        <v>13</v>
      </c>
      <c r="G346" t="s">
        <v>14</v>
      </c>
      <c r="H346" t="s">
        <v>14</v>
      </c>
      <c r="I346" t="s">
        <v>14</v>
      </c>
      <c r="J346" t="s">
        <v>14</v>
      </c>
      <c r="K346">
        <v>0</v>
      </c>
      <c r="L346" t="s">
        <v>14</v>
      </c>
      <c r="M346" t="s">
        <v>16</v>
      </c>
    </row>
    <row r="347" spans="1:13">
      <c r="A347">
        <v>3850000</v>
      </c>
      <c r="B347">
        <v>2015</v>
      </c>
      <c r="C347">
        <v>3</v>
      </c>
      <c r="D347">
        <v>1</v>
      </c>
      <c r="E347">
        <v>2</v>
      </c>
      <c r="F347" t="s">
        <v>13</v>
      </c>
      <c r="G347" t="s">
        <v>14</v>
      </c>
      <c r="H347" t="s">
        <v>13</v>
      </c>
      <c r="I347" t="s">
        <v>14</v>
      </c>
      <c r="J347" t="s">
        <v>14</v>
      </c>
      <c r="K347">
        <v>0</v>
      </c>
      <c r="L347" t="s">
        <v>13</v>
      </c>
      <c r="M347" t="s">
        <v>16</v>
      </c>
    </row>
    <row r="348" spans="1:13">
      <c r="A348">
        <v>3850000</v>
      </c>
      <c r="B348">
        <v>2176</v>
      </c>
      <c r="C348">
        <v>2</v>
      </c>
      <c r="D348">
        <v>1</v>
      </c>
      <c r="E348">
        <v>2</v>
      </c>
      <c r="F348" t="s">
        <v>13</v>
      </c>
      <c r="G348" t="s">
        <v>13</v>
      </c>
      <c r="H348" t="s">
        <v>14</v>
      </c>
      <c r="I348" t="s">
        <v>14</v>
      </c>
      <c r="J348" t="s">
        <v>14</v>
      </c>
      <c r="K348">
        <v>0</v>
      </c>
      <c r="L348" t="s">
        <v>13</v>
      </c>
      <c r="M348" t="s">
        <v>16</v>
      </c>
    </row>
    <row r="349" spans="1:13">
      <c r="A349">
        <v>3836000</v>
      </c>
      <c r="B349">
        <v>3350</v>
      </c>
      <c r="C349">
        <v>3</v>
      </c>
      <c r="D349">
        <v>1</v>
      </c>
      <c r="E349">
        <v>2</v>
      </c>
      <c r="F349" t="s">
        <v>13</v>
      </c>
      <c r="G349" t="s">
        <v>14</v>
      </c>
      <c r="H349" t="s">
        <v>14</v>
      </c>
      <c r="I349" t="s">
        <v>14</v>
      </c>
      <c r="J349" t="s">
        <v>14</v>
      </c>
      <c r="K349">
        <v>0</v>
      </c>
      <c r="L349" t="s">
        <v>14</v>
      </c>
      <c r="M349" t="s">
        <v>17</v>
      </c>
    </row>
    <row r="350" spans="1:13">
      <c r="A350">
        <v>3815000</v>
      </c>
      <c r="B350">
        <v>3150</v>
      </c>
      <c r="C350">
        <v>2</v>
      </c>
      <c r="D350">
        <v>2</v>
      </c>
      <c r="E350">
        <v>1</v>
      </c>
      <c r="F350" t="s">
        <v>14</v>
      </c>
      <c r="G350" t="s">
        <v>14</v>
      </c>
      <c r="H350" t="s">
        <v>13</v>
      </c>
      <c r="I350" t="s">
        <v>14</v>
      </c>
      <c r="J350" t="s">
        <v>14</v>
      </c>
      <c r="K350">
        <v>0</v>
      </c>
      <c r="L350" t="s">
        <v>14</v>
      </c>
      <c r="M350" t="s">
        <v>16</v>
      </c>
    </row>
    <row r="351" spans="1:13">
      <c r="A351">
        <v>3780000</v>
      </c>
      <c r="B351">
        <v>4820</v>
      </c>
      <c r="C351">
        <v>3</v>
      </c>
      <c r="D351">
        <v>1</v>
      </c>
      <c r="E351">
        <v>2</v>
      </c>
      <c r="F351" t="s">
        <v>13</v>
      </c>
      <c r="G351" t="s">
        <v>14</v>
      </c>
      <c r="H351" t="s">
        <v>14</v>
      </c>
      <c r="I351" t="s">
        <v>14</v>
      </c>
      <c r="J351" t="s">
        <v>14</v>
      </c>
      <c r="K351">
        <v>0</v>
      </c>
      <c r="L351" t="s">
        <v>14</v>
      </c>
      <c r="M351" t="s">
        <v>16</v>
      </c>
    </row>
    <row r="352" spans="1:13">
      <c r="A352">
        <v>3780000</v>
      </c>
      <c r="B352">
        <v>3420</v>
      </c>
      <c r="C352">
        <v>2</v>
      </c>
      <c r="D352">
        <v>1</v>
      </c>
      <c r="E352">
        <v>2</v>
      </c>
      <c r="F352" t="s">
        <v>13</v>
      </c>
      <c r="G352" t="s">
        <v>14</v>
      </c>
      <c r="H352" t="s">
        <v>14</v>
      </c>
      <c r="I352" t="s">
        <v>13</v>
      </c>
      <c r="J352" t="s">
        <v>14</v>
      </c>
      <c r="K352">
        <v>1</v>
      </c>
      <c r="L352" t="s">
        <v>14</v>
      </c>
      <c r="M352" t="s">
        <v>16</v>
      </c>
    </row>
    <row r="353" spans="1:13">
      <c r="A353">
        <v>3780000</v>
      </c>
      <c r="B353">
        <v>3600</v>
      </c>
      <c r="C353">
        <v>2</v>
      </c>
      <c r="D353">
        <v>1</v>
      </c>
      <c r="E353">
        <v>1</v>
      </c>
      <c r="F353" t="s">
        <v>13</v>
      </c>
      <c r="G353" t="s">
        <v>14</v>
      </c>
      <c r="H353" t="s">
        <v>14</v>
      </c>
      <c r="I353" t="s">
        <v>14</v>
      </c>
      <c r="J353" t="s">
        <v>14</v>
      </c>
      <c r="K353">
        <v>0</v>
      </c>
      <c r="L353" t="s">
        <v>14</v>
      </c>
      <c r="M353" t="s">
        <v>16</v>
      </c>
    </row>
    <row r="354" spans="1:13">
      <c r="A354">
        <v>3780000</v>
      </c>
      <c r="B354">
        <v>5830</v>
      </c>
      <c r="C354">
        <v>2</v>
      </c>
      <c r="D354">
        <v>1</v>
      </c>
      <c r="E354">
        <v>1</v>
      </c>
      <c r="F354" t="s">
        <v>13</v>
      </c>
      <c r="G354" t="s">
        <v>14</v>
      </c>
      <c r="H354" t="s">
        <v>14</v>
      </c>
      <c r="I354" t="s">
        <v>14</v>
      </c>
      <c r="J354" t="s">
        <v>14</v>
      </c>
      <c r="K354">
        <v>2</v>
      </c>
      <c r="L354" t="s">
        <v>14</v>
      </c>
      <c r="M354" t="s">
        <v>17</v>
      </c>
    </row>
    <row r="355" spans="1:13">
      <c r="A355">
        <v>3780000</v>
      </c>
      <c r="B355">
        <v>2856</v>
      </c>
      <c r="C355">
        <v>3</v>
      </c>
      <c r="D355">
        <v>1</v>
      </c>
      <c r="E355">
        <v>3</v>
      </c>
      <c r="F355" t="s">
        <v>13</v>
      </c>
      <c r="G355" t="s">
        <v>14</v>
      </c>
      <c r="H355" t="s">
        <v>14</v>
      </c>
      <c r="I355" t="s">
        <v>14</v>
      </c>
      <c r="J355" t="s">
        <v>14</v>
      </c>
      <c r="K355">
        <v>0</v>
      </c>
      <c r="L355" t="s">
        <v>13</v>
      </c>
      <c r="M355" t="s">
        <v>15</v>
      </c>
    </row>
    <row r="356" spans="1:13">
      <c r="A356">
        <v>3780000</v>
      </c>
      <c r="B356">
        <v>8400</v>
      </c>
      <c r="C356">
        <v>2</v>
      </c>
      <c r="D356">
        <v>1</v>
      </c>
      <c r="E356">
        <v>1</v>
      </c>
      <c r="F356" t="s">
        <v>13</v>
      </c>
      <c r="G356" t="s">
        <v>14</v>
      </c>
      <c r="H356" t="s">
        <v>14</v>
      </c>
      <c r="I356" t="s">
        <v>14</v>
      </c>
      <c r="J356" t="s">
        <v>14</v>
      </c>
      <c r="K356">
        <v>1</v>
      </c>
      <c r="L356" t="s">
        <v>14</v>
      </c>
      <c r="M356" t="s">
        <v>15</v>
      </c>
    </row>
    <row r="357" spans="1:13">
      <c r="A357">
        <v>3773000</v>
      </c>
      <c r="B357">
        <v>8250</v>
      </c>
      <c r="C357">
        <v>3</v>
      </c>
      <c r="D357">
        <v>1</v>
      </c>
      <c r="E357">
        <v>1</v>
      </c>
      <c r="F357" t="s">
        <v>13</v>
      </c>
      <c r="G357" t="s">
        <v>14</v>
      </c>
      <c r="H357" t="s">
        <v>14</v>
      </c>
      <c r="I357" t="s">
        <v>14</v>
      </c>
      <c r="J357" t="s">
        <v>14</v>
      </c>
      <c r="K357">
        <v>2</v>
      </c>
      <c r="L357" t="s">
        <v>14</v>
      </c>
      <c r="M357" t="s">
        <v>15</v>
      </c>
    </row>
    <row r="358" spans="1:13">
      <c r="A358">
        <v>3773000</v>
      </c>
      <c r="B358">
        <v>2520</v>
      </c>
      <c r="C358">
        <v>5</v>
      </c>
      <c r="D358">
        <v>2</v>
      </c>
      <c r="E358">
        <v>1</v>
      </c>
      <c r="F358" t="s">
        <v>14</v>
      </c>
      <c r="G358" t="s">
        <v>14</v>
      </c>
      <c r="H358" t="s">
        <v>13</v>
      </c>
      <c r="I358" t="s">
        <v>14</v>
      </c>
      <c r="J358" t="s">
        <v>13</v>
      </c>
      <c r="K358">
        <v>1</v>
      </c>
      <c r="L358" t="s">
        <v>14</v>
      </c>
      <c r="M358" t="s">
        <v>15</v>
      </c>
    </row>
    <row r="359" spans="1:13">
      <c r="A359">
        <v>3773000</v>
      </c>
      <c r="B359">
        <v>6930</v>
      </c>
      <c r="C359">
        <v>4</v>
      </c>
      <c r="D359">
        <v>1</v>
      </c>
      <c r="E359">
        <v>2</v>
      </c>
      <c r="F359" t="s">
        <v>14</v>
      </c>
      <c r="G359" t="s">
        <v>14</v>
      </c>
      <c r="H359" t="s">
        <v>14</v>
      </c>
      <c r="I359" t="s">
        <v>14</v>
      </c>
      <c r="J359" t="s">
        <v>14</v>
      </c>
      <c r="K359">
        <v>1</v>
      </c>
      <c r="L359" t="s">
        <v>14</v>
      </c>
      <c r="M359" t="s">
        <v>15</v>
      </c>
    </row>
    <row r="360" spans="1:13">
      <c r="A360">
        <v>3745000</v>
      </c>
      <c r="B360">
        <v>3480</v>
      </c>
      <c r="C360">
        <v>2</v>
      </c>
      <c r="D360">
        <v>1</v>
      </c>
      <c r="E360">
        <v>1</v>
      </c>
      <c r="F360" t="s">
        <v>13</v>
      </c>
      <c r="G360" t="s">
        <v>14</v>
      </c>
      <c r="H360" t="s">
        <v>14</v>
      </c>
      <c r="I360" t="s">
        <v>14</v>
      </c>
      <c r="J360" t="s">
        <v>14</v>
      </c>
      <c r="K360">
        <v>0</v>
      </c>
      <c r="L360" t="s">
        <v>13</v>
      </c>
      <c r="M360" t="s">
        <v>16</v>
      </c>
    </row>
    <row r="361" spans="1:13">
      <c r="A361">
        <v>3710000</v>
      </c>
      <c r="B361">
        <v>3600</v>
      </c>
      <c r="C361">
        <v>3</v>
      </c>
      <c r="D361">
        <v>1</v>
      </c>
      <c r="E361">
        <v>1</v>
      </c>
      <c r="F361" t="s">
        <v>13</v>
      </c>
      <c r="G361" t="s">
        <v>14</v>
      </c>
      <c r="H361" t="s">
        <v>14</v>
      </c>
      <c r="I361" t="s">
        <v>14</v>
      </c>
      <c r="J361" t="s">
        <v>14</v>
      </c>
      <c r="K361">
        <v>1</v>
      </c>
      <c r="L361" t="s">
        <v>14</v>
      </c>
      <c r="M361" t="s">
        <v>17</v>
      </c>
    </row>
    <row r="362" spans="1:13">
      <c r="A362">
        <v>3710000</v>
      </c>
      <c r="B362">
        <v>4040</v>
      </c>
      <c r="C362">
        <v>2</v>
      </c>
      <c r="D362">
        <v>1</v>
      </c>
      <c r="E362">
        <v>1</v>
      </c>
      <c r="F362" t="s">
        <v>13</v>
      </c>
      <c r="G362" t="s">
        <v>14</v>
      </c>
      <c r="H362" t="s">
        <v>14</v>
      </c>
      <c r="I362" t="s">
        <v>14</v>
      </c>
      <c r="J362" t="s">
        <v>14</v>
      </c>
      <c r="K362">
        <v>0</v>
      </c>
      <c r="L362" t="s">
        <v>14</v>
      </c>
      <c r="M362" t="s">
        <v>16</v>
      </c>
    </row>
    <row r="363" spans="1:13">
      <c r="A363">
        <v>3710000</v>
      </c>
      <c r="B363">
        <v>6020</v>
      </c>
      <c r="C363">
        <v>3</v>
      </c>
      <c r="D363">
        <v>1</v>
      </c>
      <c r="E363">
        <v>1</v>
      </c>
      <c r="F363" t="s">
        <v>13</v>
      </c>
      <c r="G363" t="s">
        <v>14</v>
      </c>
      <c r="H363" t="s">
        <v>14</v>
      </c>
      <c r="I363" t="s">
        <v>14</v>
      </c>
      <c r="J363" t="s">
        <v>14</v>
      </c>
      <c r="K363">
        <v>0</v>
      </c>
      <c r="L363" t="s">
        <v>14</v>
      </c>
      <c r="M363" t="s">
        <v>16</v>
      </c>
    </row>
    <row r="364" spans="1:13">
      <c r="A364">
        <v>3710000</v>
      </c>
      <c r="B364">
        <v>4050</v>
      </c>
      <c r="C364">
        <v>2</v>
      </c>
      <c r="D364">
        <v>1</v>
      </c>
      <c r="E364">
        <v>1</v>
      </c>
      <c r="F364" t="s">
        <v>13</v>
      </c>
      <c r="G364" t="s">
        <v>14</v>
      </c>
      <c r="H364" t="s">
        <v>14</v>
      </c>
      <c r="I364" t="s">
        <v>14</v>
      </c>
      <c r="J364" t="s">
        <v>14</v>
      </c>
      <c r="K364">
        <v>0</v>
      </c>
      <c r="L364" t="s">
        <v>14</v>
      </c>
      <c r="M364" t="s">
        <v>15</v>
      </c>
    </row>
    <row r="365" spans="1:13">
      <c r="A365">
        <v>3710000</v>
      </c>
      <c r="B365">
        <v>3584</v>
      </c>
      <c r="C365">
        <v>2</v>
      </c>
      <c r="D365">
        <v>1</v>
      </c>
      <c r="E365">
        <v>1</v>
      </c>
      <c r="F365" t="s">
        <v>13</v>
      </c>
      <c r="G365" t="s">
        <v>14</v>
      </c>
      <c r="H365" t="s">
        <v>14</v>
      </c>
      <c r="I365" t="s">
        <v>13</v>
      </c>
      <c r="J365" t="s">
        <v>14</v>
      </c>
      <c r="K365">
        <v>0</v>
      </c>
      <c r="L365" t="s">
        <v>14</v>
      </c>
      <c r="M365" t="s">
        <v>16</v>
      </c>
    </row>
    <row r="366" spans="1:13">
      <c r="A366">
        <v>3703000</v>
      </c>
      <c r="B366">
        <v>3120</v>
      </c>
      <c r="C366">
        <v>3</v>
      </c>
      <c r="D366">
        <v>1</v>
      </c>
      <c r="E366">
        <v>2</v>
      </c>
      <c r="F366" t="s">
        <v>14</v>
      </c>
      <c r="G366" t="s">
        <v>14</v>
      </c>
      <c r="H366" t="s">
        <v>13</v>
      </c>
      <c r="I366" t="s">
        <v>13</v>
      </c>
      <c r="J366" t="s">
        <v>14</v>
      </c>
      <c r="K366">
        <v>0</v>
      </c>
      <c r="L366" t="s">
        <v>14</v>
      </c>
      <c r="M366" t="s">
        <v>16</v>
      </c>
    </row>
    <row r="367" spans="1:13">
      <c r="A367">
        <v>3703000</v>
      </c>
      <c r="B367">
        <v>5450</v>
      </c>
      <c r="C367">
        <v>2</v>
      </c>
      <c r="D367">
        <v>1</v>
      </c>
      <c r="E367">
        <v>1</v>
      </c>
      <c r="F367" t="s">
        <v>13</v>
      </c>
      <c r="G367" t="s">
        <v>14</v>
      </c>
      <c r="H367" t="s">
        <v>14</v>
      </c>
      <c r="I367" t="s">
        <v>14</v>
      </c>
      <c r="J367" t="s">
        <v>14</v>
      </c>
      <c r="K367">
        <v>0</v>
      </c>
      <c r="L367" t="s">
        <v>14</v>
      </c>
      <c r="M367" t="s">
        <v>15</v>
      </c>
    </row>
    <row r="368" spans="1:13">
      <c r="A368">
        <v>3675000</v>
      </c>
      <c r="B368">
        <v>3630</v>
      </c>
      <c r="C368">
        <v>2</v>
      </c>
      <c r="D368">
        <v>1</v>
      </c>
      <c r="E368">
        <v>1</v>
      </c>
      <c r="F368" t="s">
        <v>13</v>
      </c>
      <c r="G368" t="s">
        <v>14</v>
      </c>
      <c r="H368" t="s">
        <v>13</v>
      </c>
      <c r="I368" t="s">
        <v>14</v>
      </c>
      <c r="J368" t="s">
        <v>14</v>
      </c>
      <c r="K368">
        <v>0</v>
      </c>
      <c r="L368" t="s">
        <v>14</v>
      </c>
      <c r="M368" t="s">
        <v>15</v>
      </c>
    </row>
    <row r="369" spans="1:13">
      <c r="A369">
        <v>3675000</v>
      </c>
      <c r="B369">
        <v>3630</v>
      </c>
      <c r="C369">
        <v>2</v>
      </c>
      <c r="D369">
        <v>1</v>
      </c>
      <c r="E369">
        <v>1</v>
      </c>
      <c r="F369" t="s">
        <v>13</v>
      </c>
      <c r="G369" t="s">
        <v>14</v>
      </c>
      <c r="H369" t="s">
        <v>14</v>
      </c>
      <c r="I369" t="s">
        <v>14</v>
      </c>
      <c r="J369" t="s">
        <v>13</v>
      </c>
      <c r="K369">
        <v>0</v>
      </c>
      <c r="L369" t="s">
        <v>14</v>
      </c>
      <c r="M369" t="s">
        <v>17</v>
      </c>
    </row>
    <row r="370" spans="1:13">
      <c r="A370">
        <v>3675000</v>
      </c>
      <c r="B370">
        <v>5640</v>
      </c>
      <c r="C370">
        <v>2</v>
      </c>
      <c r="D370">
        <v>1</v>
      </c>
      <c r="E370">
        <v>1</v>
      </c>
      <c r="F370" t="s">
        <v>14</v>
      </c>
      <c r="G370" t="s">
        <v>14</v>
      </c>
      <c r="H370" t="s">
        <v>14</v>
      </c>
      <c r="I370" t="s">
        <v>14</v>
      </c>
      <c r="J370" t="s">
        <v>14</v>
      </c>
      <c r="K370">
        <v>0</v>
      </c>
      <c r="L370" t="s">
        <v>14</v>
      </c>
      <c r="M370" t="s">
        <v>16</v>
      </c>
    </row>
    <row r="371" spans="1:13">
      <c r="A371">
        <v>3675000</v>
      </c>
      <c r="B371">
        <v>3600</v>
      </c>
      <c r="C371">
        <v>2</v>
      </c>
      <c r="D371">
        <v>1</v>
      </c>
      <c r="E371">
        <v>1</v>
      </c>
      <c r="F371" t="s">
        <v>13</v>
      </c>
      <c r="G371" t="s">
        <v>14</v>
      </c>
      <c r="H371" t="s">
        <v>14</v>
      </c>
      <c r="I371" t="s">
        <v>14</v>
      </c>
      <c r="J371" t="s">
        <v>14</v>
      </c>
      <c r="K371">
        <v>0</v>
      </c>
      <c r="L371" t="s">
        <v>14</v>
      </c>
      <c r="M371" t="s">
        <v>15</v>
      </c>
    </row>
    <row r="372" spans="1:13">
      <c r="A372">
        <v>3640000</v>
      </c>
      <c r="B372">
        <v>4280</v>
      </c>
      <c r="C372">
        <v>2</v>
      </c>
      <c r="D372">
        <v>1</v>
      </c>
      <c r="E372">
        <v>1</v>
      </c>
      <c r="F372" t="s">
        <v>13</v>
      </c>
      <c r="G372" t="s">
        <v>14</v>
      </c>
      <c r="H372" t="s">
        <v>14</v>
      </c>
      <c r="I372" t="s">
        <v>14</v>
      </c>
      <c r="J372" t="s">
        <v>13</v>
      </c>
      <c r="K372">
        <v>2</v>
      </c>
      <c r="L372" t="s">
        <v>14</v>
      </c>
      <c r="M372" t="s">
        <v>16</v>
      </c>
    </row>
    <row r="373" spans="1:13">
      <c r="A373">
        <v>3640000</v>
      </c>
      <c r="B373">
        <v>3570</v>
      </c>
      <c r="C373">
        <v>3</v>
      </c>
      <c r="D373">
        <v>1</v>
      </c>
      <c r="E373">
        <v>2</v>
      </c>
      <c r="F373" t="s">
        <v>13</v>
      </c>
      <c r="G373" t="s">
        <v>14</v>
      </c>
      <c r="H373" t="s">
        <v>13</v>
      </c>
      <c r="I373" t="s">
        <v>14</v>
      </c>
      <c r="J373" t="s">
        <v>14</v>
      </c>
      <c r="K373">
        <v>0</v>
      </c>
      <c r="L373" t="s">
        <v>14</v>
      </c>
      <c r="M373" t="s">
        <v>16</v>
      </c>
    </row>
    <row r="374" spans="1:13">
      <c r="A374">
        <v>3640000</v>
      </c>
      <c r="B374">
        <v>3180</v>
      </c>
      <c r="C374">
        <v>3</v>
      </c>
      <c r="D374">
        <v>1</v>
      </c>
      <c r="E374">
        <v>2</v>
      </c>
      <c r="F374" t="s">
        <v>14</v>
      </c>
      <c r="G374" t="s">
        <v>14</v>
      </c>
      <c r="H374" t="s">
        <v>13</v>
      </c>
      <c r="I374" t="s">
        <v>14</v>
      </c>
      <c r="J374" t="s">
        <v>14</v>
      </c>
      <c r="K374">
        <v>0</v>
      </c>
      <c r="L374" t="s">
        <v>14</v>
      </c>
      <c r="M374" t="s">
        <v>16</v>
      </c>
    </row>
    <row r="375" spans="1:13">
      <c r="A375">
        <v>3640000</v>
      </c>
      <c r="B375">
        <v>3000</v>
      </c>
      <c r="C375">
        <v>2</v>
      </c>
      <c r="D375">
        <v>1</v>
      </c>
      <c r="E375">
        <v>2</v>
      </c>
      <c r="F375" t="s">
        <v>13</v>
      </c>
      <c r="G375" t="s">
        <v>14</v>
      </c>
      <c r="H375" t="s">
        <v>14</v>
      </c>
      <c r="I375" t="s">
        <v>14</v>
      </c>
      <c r="J375" t="s">
        <v>13</v>
      </c>
      <c r="K375">
        <v>0</v>
      </c>
      <c r="L375" t="s">
        <v>14</v>
      </c>
      <c r="M375" t="s">
        <v>15</v>
      </c>
    </row>
    <row r="376" spans="1:13">
      <c r="A376">
        <v>3640000</v>
      </c>
      <c r="B376">
        <v>3520</v>
      </c>
      <c r="C376">
        <v>2</v>
      </c>
      <c r="D376">
        <v>2</v>
      </c>
      <c r="E376">
        <v>1</v>
      </c>
      <c r="F376" t="s">
        <v>13</v>
      </c>
      <c r="G376" t="s">
        <v>14</v>
      </c>
      <c r="H376" t="s">
        <v>13</v>
      </c>
      <c r="I376" t="s">
        <v>14</v>
      </c>
      <c r="J376" t="s">
        <v>14</v>
      </c>
      <c r="K376">
        <v>0</v>
      </c>
      <c r="L376" t="s">
        <v>14</v>
      </c>
      <c r="M376" t="s">
        <v>16</v>
      </c>
    </row>
    <row r="377" spans="1:13">
      <c r="A377">
        <v>3640000</v>
      </c>
      <c r="B377">
        <v>5960</v>
      </c>
      <c r="C377">
        <v>3</v>
      </c>
      <c r="D377">
        <v>1</v>
      </c>
      <c r="E377">
        <v>2</v>
      </c>
      <c r="F377" t="s">
        <v>13</v>
      </c>
      <c r="G377" t="s">
        <v>13</v>
      </c>
      <c r="H377" t="s">
        <v>13</v>
      </c>
      <c r="I377" t="s">
        <v>14</v>
      </c>
      <c r="J377" t="s">
        <v>14</v>
      </c>
      <c r="K377">
        <v>0</v>
      </c>
      <c r="L377" t="s">
        <v>14</v>
      </c>
      <c r="M377" t="s">
        <v>17</v>
      </c>
    </row>
    <row r="378" spans="1:13">
      <c r="A378">
        <v>3640000</v>
      </c>
      <c r="B378">
        <v>4130</v>
      </c>
      <c r="C378">
        <v>3</v>
      </c>
      <c r="D378">
        <v>2</v>
      </c>
      <c r="E378">
        <v>2</v>
      </c>
      <c r="F378" t="s">
        <v>13</v>
      </c>
      <c r="G378" t="s">
        <v>14</v>
      </c>
      <c r="H378" t="s">
        <v>14</v>
      </c>
      <c r="I378" t="s">
        <v>14</v>
      </c>
      <c r="J378" t="s">
        <v>14</v>
      </c>
      <c r="K378">
        <v>2</v>
      </c>
      <c r="L378" t="s">
        <v>14</v>
      </c>
      <c r="M378" t="s">
        <v>16</v>
      </c>
    </row>
    <row r="379" spans="1:13">
      <c r="A379">
        <v>3640000</v>
      </c>
      <c r="B379">
        <v>2850</v>
      </c>
      <c r="C379">
        <v>3</v>
      </c>
      <c r="D379">
        <v>2</v>
      </c>
      <c r="E379">
        <v>2</v>
      </c>
      <c r="F379" t="s">
        <v>14</v>
      </c>
      <c r="G379" t="s">
        <v>14</v>
      </c>
      <c r="H379" t="s">
        <v>13</v>
      </c>
      <c r="I379" t="s">
        <v>14</v>
      </c>
      <c r="J379" t="s">
        <v>14</v>
      </c>
      <c r="K379">
        <v>0</v>
      </c>
      <c r="L379" t="s">
        <v>13</v>
      </c>
      <c r="M379" t="s">
        <v>17</v>
      </c>
    </row>
    <row r="380" spans="1:13">
      <c r="A380">
        <v>3640000</v>
      </c>
      <c r="B380">
        <v>2275</v>
      </c>
      <c r="C380">
        <v>3</v>
      </c>
      <c r="D380">
        <v>1</v>
      </c>
      <c r="E380">
        <v>3</v>
      </c>
      <c r="F380" t="s">
        <v>13</v>
      </c>
      <c r="G380" t="s">
        <v>14</v>
      </c>
      <c r="H380" t="s">
        <v>14</v>
      </c>
      <c r="I380" t="s">
        <v>13</v>
      </c>
      <c r="J380" t="s">
        <v>13</v>
      </c>
      <c r="K380">
        <v>0</v>
      </c>
      <c r="L380" t="s">
        <v>13</v>
      </c>
      <c r="M380" t="s">
        <v>16</v>
      </c>
    </row>
    <row r="381" spans="1:13">
      <c r="A381">
        <v>3633000</v>
      </c>
      <c r="B381">
        <v>3520</v>
      </c>
      <c r="C381">
        <v>3</v>
      </c>
      <c r="D381">
        <v>1</v>
      </c>
      <c r="E381">
        <v>1</v>
      </c>
      <c r="F381" t="s">
        <v>13</v>
      </c>
      <c r="G381" t="s">
        <v>14</v>
      </c>
      <c r="H381" t="s">
        <v>14</v>
      </c>
      <c r="I381" t="s">
        <v>14</v>
      </c>
      <c r="J381" t="s">
        <v>14</v>
      </c>
      <c r="K381">
        <v>2</v>
      </c>
      <c r="L381" t="s">
        <v>13</v>
      </c>
      <c r="M381" t="s">
        <v>17</v>
      </c>
    </row>
    <row r="382" spans="1:13">
      <c r="A382">
        <v>3605000</v>
      </c>
      <c r="B382">
        <v>4500</v>
      </c>
      <c r="C382">
        <v>2</v>
      </c>
      <c r="D382">
        <v>1</v>
      </c>
      <c r="E382">
        <v>1</v>
      </c>
      <c r="F382" t="s">
        <v>13</v>
      </c>
      <c r="G382" t="s">
        <v>14</v>
      </c>
      <c r="H382" t="s">
        <v>14</v>
      </c>
      <c r="I382" t="s">
        <v>14</v>
      </c>
      <c r="J382" t="s">
        <v>14</v>
      </c>
      <c r="K382">
        <v>0</v>
      </c>
      <c r="L382" t="s">
        <v>14</v>
      </c>
      <c r="M382" t="s">
        <v>16</v>
      </c>
    </row>
    <row r="383" spans="1:13">
      <c r="A383">
        <v>3605000</v>
      </c>
      <c r="B383">
        <v>4000</v>
      </c>
      <c r="C383">
        <v>2</v>
      </c>
      <c r="D383">
        <v>1</v>
      </c>
      <c r="E383">
        <v>1</v>
      </c>
      <c r="F383" t="s">
        <v>13</v>
      </c>
      <c r="G383" t="s">
        <v>14</v>
      </c>
      <c r="H383" t="s">
        <v>14</v>
      </c>
      <c r="I383" t="s">
        <v>14</v>
      </c>
      <c r="J383" t="s">
        <v>14</v>
      </c>
      <c r="K383">
        <v>0</v>
      </c>
      <c r="L383" t="s">
        <v>13</v>
      </c>
      <c r="M383" t="s">
        <v>16</v>
      </c>
    </row>
    <row r="384" spans="1:13">
      <c r="A384">
        <v>3570000</v>
      </c>
      <c r="B384">
        <v>3150</v>
      </c>
      <c r="C384">
        <v>3</v>
      </c>
      <c r="D384">
        <v>1</v>
      </c>
      <c r="E384">
        <v>2</v>
      </c>
      <c r="F384" t="s">
        <v>13</v>
      </c>
      <c r="G384" t="s">
        <v>14</v>
      </c>
      <c r="H384" t="s">
        <v>13</v>
      </c>
      <c r="I384" t="s">
        <v>14</v>
      </c>
      <c r="J384" t="s">
        <v>14</v>
      </c>
      <c r="K384">
        <v>0</v>
      </c>
      <c r="L384" t="s">
        <v>14</v>
      </c>
      <c r="M384" t="s">
        <v>15</v>
      </c>
    </row>
    <row r="385" spans="1:13">
      <c r="A385">
        <v>3570000</v>
      </c>
      <c r="B385">
        <v>4500</v>
      </c>
      <c r="C385">
        <v>4</v>
      </c>
      <c r="D385">
        <v>2</v>
      </c>
      <c r="E385">
        <v>2</v>
      </c>
      <c r="F385" t="s">
        <v>13</v>
      </c>
      <c r="G385" t="s">
        <v>14</v>
      </c>
      <c r="H385" t="s">
        <v>13</v>
      </c>
      <c r="I385" t="s">
        <v>14</v>
      </c>
      <c r="J385" t="s">
        <v>14</v>
      </c>
      <c r="K385">
        <v>2</v>
      </c>
      <c r="L385" t="s">
        <v>14</v>
      </c>
      <c r="M385" t="s">
        <v>15</v>
      </c>
    </row>
    <row r="386" spans="1:13">
      <c r="A386">
        <v>3570000</v>
      </c>
      <c r="B386">
        <v>4500</v>
      </c>
      <c r="C386">
        <v>2</v>
      </c>
      <c r="D386">
        <v>1</v>
      </c>
      <c r="E386">
        <v>1</v>
      </c>
      <c r="F386" t="s">
        <v>14</v>
      </c>
      <c r="G386" t="s">
        <v>14</v>
      </c>
      <c r="H386" t="s">
        <v>14</v>
      </c>
      <c r="I386" t="s">
        <v>14</v>
      </c>
      <c r="J386" t="s">
        <v>14</v>
      </c>
      <c r="K386">
        <v>0</v>
      </c>
      <c r="L386" t="s">
        <v>14</v>
      </c>
      <c r="M386" t="s">
        <v>15</v>
      </c>
    </row>
    <row r="387" spans="1:13">
      <c r="A387">
        <v>3570000</v>
      </c>
      <c r="B387">
        <v>3640</v>
      </c>
      <c r="C387">
        <v>2</v>
      </c>
      <c r="D387">
        <v>1</v>
      </c>
      <c r="E387">
        <v>1</v>
      </c>
      <c r="F387" t="s">
        <v>13</v>
      </c>
      <c r="G387" t="s">
        <v>14</v>
      </c>
      <c r="H387" t="s">
        <v>14</v>
      </c>
      <c r="I387" t="s">
        <v>14</v>
      </c>
      <c r="J387" t="s">
        <v>14</v>
      </c>
      <c r="K387">
        <v>0</v>
      </c>
      <c r="L387" t="s">
        <v>14</v>
      </c>
      <c r="M387" t="s">
        <v>17</v>
      </c>
    </row>
    <row r="388" spans="1:13">
      <c r="A388">
        <v>3535000</v>
      </c>
      <c r="B388">
        <v>3850</v>
      </c>
      <c r="C388">
        <v>3</v>
      </c>
      <c r="D388">
        <v>1</v>
      </c>
      <c r="E388">
        <v>1</v>
      </c>
      <c r="F388" t="s">
        <v>13</v>
      </c>
      <c r="G388" t="s">
        <v>14</v>
      </c>
      <c r="H388" t="s">
        <v>14</v>
      </c>
      <c r="I388" t="s">
        <v>14</v>
      </c>
      <c r="J388" t="s">
        <v>14</v>
      </c>
      <c r="K388">
        <v>2</v>
      </c>
      <c r="L388" t="s">
        <v>14</v>
      </c>
      <c r="M388" t="s">
        <v>17</v>
      </c>
    </row>
    <row r="389" spans="1:13">
      <c r="A389">
        <v>3500000</v>
      </c>
      <c r="B389">
        <v>4240</v>
      </c>
      <c r="C389">
        <v>3</v>
      </c>
      <c r="D389">
        <v>1</v>
      </c>
      <c r="E389">
        <v>2</v>
      </c>
      <c r="F389" t="s">
        <v>13</v>
      </c>
      <c r="G389" t="s">
        <v>14</v>
      </c>
      <c r="H389" t="s">
        <v>14</v>
      </c>
      <c r="I389" t="s">
        <v>14</v>
      </c>
      <c r="J389" t="s">
        <v>13</v>
      </c>
      <c r="K389">
        <v>0</v>
      </c>
      <c r="L389" t="s">
        <v>14</v>
      </c>
      <c r="M389" t="s">
        <v>16</v>
      </c>
    </row>
    <row r="390" spans="1:13">
      <c r="A390">
        <v>3500000</v>
      </c>
      <c r="B390">
        <v>3650</v>
      </c>
      <c r="C390">
        <v>3</v>
      </c>
      <c r="D390">
        <v>1</v>
      </c>
      <c r="E390">
        <v>2</v>
      </c>
      <c r="F390" t="s">
        <v>13</v>
      </c>
      <c r="G390" t="s">
        <v>14</v>
      </c>
      <c r="H390" t="s">
        <v>14</v>
      </c>
      <c r="I390" t="s">
        <v>14</v>
      </c>
      <c r="J390" t="s">
        <v>14</v>
      </c>
      <c r="K390">
        <v>0</v>
      </c>
      <c r="L390" t="s">
        <v>14</v>
      </c>
      <c r="M390" t="s">
        <v>17</v>
      </c>
    </row>
    <row r="391" spans="1:13">
      <c r="A391">
        <v>3500000</v>
      </c>
      <c r="B391">
        <v>4600</v>
      </c>
      <c r="C391">
        <v>4</v>
      </c>
      <c r="D391">
        <v>1</v>
      </c>
      <c r="E391">
        <v>2</v>
      </c>
      <c r="F391" t="s">
        <v>13</v>
      </c>
      <c r="G391" t="s">
        <v>14</v>
      </c>
      <c r="H391" t="s">
        <v>14</v>
      </c>
      <c r="I391" t="s">
        <v>14</v>
      </c>
      <c r="J391" t="s">
        <v>14</v>
      </c>
      <c r="K391">
        <v>0</v>
      </c>
      <c r="L391" t="s">
        <v>14</v>
      </c>
      <c r="M391" t="s">
        <v>16</v>
      </c>
    </row>
    <row r="392" spans="1:13">
      <c r="A392">
        <v>3500000</v>
      </c>
      <c r="B392">
        <v>2135</v>
      </c>
      <c r="C392">
        <v>3</v>
      </c>
      <c r="D392">
        <v>2</v>
      </c>
      <c r="E392">
        <v>2</v>
      </c>
      <c r="F392" t="s">
        <v>14</v>
      </c>
      <c r="G392" t="s">
        <v>14</v>
      </c>
      <c r="H392" t="s">
        <v>14</v>
      </c>
      <c r="I392" t="s">
        <v>14</v>
      </c>
      <c r="J392" t="s">
        <v>14</v>
      </c>
      <c r="K392">
        <v>0</v>
      </c>
      <c r="L392" t="s">
        <v>14</v>
      </c>
      <c r="M392" t="s">
        <v>17</v>
      </c>
    </row>
    <row r="393" spans="1:13">
      <c r="A393">
        <v>3500000</v>
      </c>
      <c r="B393">
        <v>3036</v>
      </c>
      <c r="C393">
        <v>3</v>
      </c>
      <c r="D393">
        <v>1</v>
      </c>
      <c r="E393">
        <v>2</v>
      </c>
      <c r="F393" t="s">
        <v>13</v>
      </c>
      <c r="G393" t="s">
        <v>14</v>
      </c>
      <c r="H393" t="s">
        <v>13</v>
      </c>
      <c r="I393" t="s">
        <v>14</v>
      </c>
      <c r="J393" t="s">
        <v>14</v>
      </c>
      <c r="K393">
        <v>0</v>
      </c>
      <c r="L393" t="s">
        <v>14</v>
      </c>
      <c r="M393" t="s">
        <v>16</v>
      </c>
    </row>
    <row r="394" spans="1:13">
      <c r="A394">
        <v>3500000</v>
      </c>
      <c r="B394">
        <v>3990</v>
      </c>
      <c r="C394">
        <v>3</v>
      </c>
      <c r="D394">
        <v>1</v>
      </c>
      <c r="E394">
        <v>2</v>
      </c>
      <c r="F394" t="s">
        <v>13</v>
      </c>
      <c r="G394" t="s">
        <v>14</v>
      </c>
      <c r="H394" t="s">
        <v>14</v>
      </c>
      <c r="I394" t="s">
        <v>14</v>
      </c>
      <c r="J394" t="s">
        <v>14</v>
      </c>
      <c r="K394">
        <v>0</v>
      </c>
      <c r="L394" t="s">
        <v>14</v>
      </c>
      <c r="M394" t="s">
        <v>16</v>
      </c>
    </row>
    <row r="395" spans="1:13">
      <c r="A395">
        <v>3500000</v>
      </c>
      <c r="B395">
        <v>7424</v>
      </c>
      <c r="C395">
        <v>3</v>
      </c>
      <c r="D395">
        <v>1</v>
      </c>
      <c r="E395">
        <v>1</v>
      </c>
      <c r="F395" t="s">
        <v>14</v>
      </c>
      <c r="G395" t="s">
        <v>14</v>
      </c>
      <c r="H395" t="s">
        <v>14</v>
      </c>
      <c r="I395" t="s">
        <v>14</v>
      </c>
      <c r="J395" t="s">
        <v>14</v>
      </c>
      <c r="K395">
        <v>0</v>
      </c>
      <c r="L395" t="s">
        <v>14</v>
      </c>
      <c r="M395" t="s">
        <v>17</v>
      </c>
    </row>
    <row r="396" spans="1:13">
      <c r="A396">
        <v>3500000</v>
      </c>
      <c r="B396">
        <v>3480</v>
      </c>
      <c r="C396">
        <v>3</v>
      </c>
      <c r="D396">
        <v>1</v>
      </c>
      <c r="E396">
        <v>1</v>
      </c>
      <c r="F396" t="s">
        <v>14</v>
      </c>
      <c r="G396" t="s">
        <v>14</v>
      </c>
      <c r="H396" t="s">
        <v>14</v>
      </c>
      <c r="I396" t="s">
        <v>14</v>
      </c>
      <c r="J396" t="s">
        <v>13</v>
      </c>
      <c r="K396">
        <v>0</v>
      </c>
      <c r="L396" t="s">
        <v>14</v>
      </c>
      <c r="M396" t="s">
        <v>17</v>
      </c>
    </row>
    <row r="397" spans="1:13">
      <c r="A397">
        <v>3500000</v>
      </c>
      <c r="B397">
        <v>3600</v>
      </c>
      <c r="C397">
        <v>6</v>
      </c>
      <c r="D397">
        <v>1</v>
      </c>
      <c r="E397">
        <v>2</v>
      </c>
      <c r="F397" t="s">
        <v>13</v>
      </c>
      <c r="G397" t="s">
        <v>14</v>
      </c>
      <c r="H397" t="s">
        <v>14</v>
      </c>
      <c r="I397" t="s">
        <v>14</v>
      </c>
      <c r="J397" t="s">
        <v>14</v>
      </c>
      <c r="K397">
        <v>1</v>
      </c>
      <c r="L397" t="s">
        <v>14</v>
      </c>
      <c r="M397" t="s">
        <v>17</v>
      </c>
    </row>
    <row r="398" spans="1:13">
      <c r="A398">
        <v>3500000</v>
      </c>
      <c r="B398">
        <v>3640</v>
      </c>
      <c r="C398">
        <v>2</v>
      </c>
      <c r="D398">
        <v>1</v>
      </c>
      <c r="E398">
        <v>1</v>
      </c>
      <c r="F398" t="s">
        <v>13</v>
      </c>
      <c r="G398" t="s">
        <v>14</v>
      </c>
      <c r="H398" t="s">
        <v>14</v>
      </c>
      <c r="I398" t="s">
        <v>14</v>
      </c>
      <c r="J398" t="s">
        <v>14</v>
      </c>
      <c r="K398">
        <v>1</v>
      </c>
      <c r="L398" t="s">
        <v>14</v>
      </c>
      <c r="M398" t="s">
        <v>16</v>
      </c>
    </row>
    <row r="399" spans="1:13">
      <c r="A399">
        <v>3500000</v>
      </c>
      <c r="B399">
        <v>5900</v>
      </c>
      <c r="C399">
        <v>2</v>
      </c>
      <c r="D399">
        <v>1</v>
      </c>
      <c r="E399">
        <v>1</v>
      </c>
      <c r="F399" t="s">
        <v>13</v>
      </c>
      <c r="G399" t="s">
        <v>14</v>
      </c>
      <c r="H399" t="s">
        <v>14</v>
      </c>
      <c r="I399" t="s">
        <v>14</v>
      </c>
      <c r="J399" t="s">
        <v>14</v>
      </c>
      <c r="K399">
        <v>1</v>
      </c>
      <c r="L399" t="s">
        <v>14</v>
      </c>
      <c r="M399" t="s">
        <v>15</v>
      </c>
    </row>
    <row r="400" spans="1:13">
      <c r="A400">
        <v>3500000</v>
      </c>
      <c r="B400">
        <v>3120</v>
      </c>
      <c r="C400">
        <v>3</v>
      </c>
      <c r="D400">
        <v>1</v>
      </c>
      <c r="E400">
        <v>2</v>
      </c>
      <c r="F400" t="s">
        <v>13</v>
      </c>
      <c r="G400" t="s">
        <v>14</v>
      </c>
      <c r="H400" t="s">
        <v>14</v>
      </c>
      <c r="I400" t="s">
        <v>14</v>
      </c>
      <c r="J400" t="s">
        <v>14</v>
      </c>
      <c r="K400">
        <v>1</v>
      </c>
      <c r="L400" t="s">
        <v>14</v>
      </c>
      <c r="M400" t="s">
        <v>17</v>
      </c>
    </row>
    <row r="401" spans="1:13">
      <c r="A401">
        <v>3500000</v>
      </c>
      <c r="B401">
        <v>7350</v>
      </c>
      <c r="C401">
        <v>2</v>
      </c>
      <c r="D401">
        <v>1</v>
      </c>
      <c r="E401">
        <v>1</v>
      </c>
      <c r="F401" t="s">
        <v>13</v>
      </c>
      <c r="G401" t="s">
        <v>14</v>
      </c>
      <c r="H401" t="s">
        <v>14</v>
      </c>
      <c r="I401" t="s">
        <v>14</v>
      </c>
      <c r="J401" t="s">
        <v>14</v>
      </c>
      <c r="K401">
        <v>1</v>
      </c>
      <c r="L401" t="s">
        <v>14</v>
      </c>
      <c r="M401" t="s">
        <v>16</v>
      </c>
    </row>
    <row r="402" spans="1:13">
      <c r="A402">
        <v>3500000</v>
      </c>
      <c r="B402">
        <v>3512</v>
      </c>
      <c r="C402">
        <v>2</v>
      </c>
      <c r="D402">
        <v>1</v>
      </c>
      <c r="E402">
        <v>1</v>
      </c>
      <c r="F402" t="s">
        <v>13</v>
      </c>
      <c r="G402" t="s">
        <v>14</v>
      </c>
      <c r="H402" t="s">
        <v>14</v>
      </c>
      <c r="I402" t="s">
        <v>14</v>
      </c>
      <c r="J402" t="s">
        <v>14</v>
      </c>
      <c r="K402">
        <v>1</v>
      </c>
      <c r="L402" t="s">
        <v>13</v>
      </c>
      <c r="M402" t="s">
        <v>17</v>
      </c>
    </row>
    <row r="403" spans="1:13">
      <c r="A403">
        <v>3500000</v>
      </c>
      <c r="B403">
        <v>9500</v>
      </c>
      <c r="C403">
        <v>3</v>
      </c>
      <c r="D403">
        <v>1</v>
      </c>
      <c r="E403">
        <v>2</v>
      </c>
      <c r="F403" t="s">
        <v>13</v>
      </c>
      <c r="G403" t="s">
        <v>14</v>
      </c>
      <c r="H403" t="s">
        <v>14</v>
      </c>
      <c r="I403" t="s">
        <v>14</v>
      </c>
      <c r="J403" t="s">
        <v>14</v>
      </c>
      <c r="K403">
        <v>3</v>
      </c>
      <c r="L403" t="s">
        <v>13</v>
      </c>
      <c r="M403" t="s">
        <v>17</v>
      </c>
    </row>
    <row r="404" spans="1:13">
      <c r="A404">
        <v>3500000</v>
      </c>
      <c r="B404">
        <v>5880</v>
      </c>
      <c r="C404">
        <v>2</v>
      </c>
      <c r="D404">
        <v>1</v>
      </c>
      <c r="E404">
        <v>1</v>
      </c>
      <c r="F404" t="s">
        <v>13</v>
      </c>
      <c r="G404" t="s">
        <v>14</v>
      </c>
      <c r="H404" t="s">
        <v>14</v>
      </c>
      <c r="I404" t="s">
        <v>14</v>
      </c>
      <c r="J404" t="s">
        <v>14</v>
      </c>
      <c r="K404">
        <v>0</v>
      </c>
      <c r="L404" t="s">
        <v>14</v>
      </c>
      <c r="M404" t="s">
        <v>17</v>
      </c>
    </row>
    <row r="405" spans="1:13">
      <c r="A405">
        <v>3500000</v>
      </c>
      <c r="B405">
        <v>12944</v>
      </c>
      <c r="C405">
        <v>3</v>
      </c>
      <c r="D405">
        <v>1</v>
      </c>
      <c r="E405">
        <v>1</v>
      </c>
      <c r="F405" t="s">
        <v>13</v>
      </c>
      <c r="G405" t="s">
        <v>14</v>
      </c>
      <c r="H405" t="s">
        <v>14</v>
      </c>
      <c r="I405" t="s">
        <v>14</v>
      </c>
      <c r="J405" t="s">
        <v>14</v>
      </c>
      <c r="K405">
        <v>0</v>
      </c>
      <c r="L405" t="s">
        <v>14</v>
      </c>
      <c r="M405" t="s">
        <v>17</v>
      </c>
    </row>
    <row r="406" spans="1:13">
      <c r="A406">
        <v>3493000</v>
      </c>
      <c r="B406">
        <v>4900</v>
      </c>
      <c r="C406">
        <v>3</v>
      </c>
      <c r="D406">
        <v>1</v>
      </c>
      <c r="E406">
        <v>2</v>
      </c>
      <c r="F406" t="s">
        <v>14</v>
      </c>
      <c r="G406" t="s">
        <v>14</v>
      </c>
      <c r="H406" t="s">
        <v>14</v>
      </c>
      <c r="I406" t="s">
        <v>14</v>
      </c>
      <c r="J406" t="s">
        <v>14</v>
      </c>
      <c r="K406">
        <v>0</v>
      </c>
      <c r="L406" t="s">
        <v>14</v>
      </c>
      <c r="M406" t="s">
        <v>17</v>
      </c>
    </row>
    <row r="407" spans="1:13">
      <c r="A407">
        <v>3465000</v>
      </c>
      <c r="B407">
        <v>3060</v>
      </c>
      <c r="C407">
        <v>3</v>
      </c>
      <c r="D407">
        <v>1</v>
      </c>
      <c r="E407">
        <v>1</v>
      </c>
      <c r="F407" t="s">
        <v>13</v>
      </c>
      <c r="G407" t="s">
        <v>14</v>
      </c>
      <c r="H407" t="s">
        <v>14</v>
      </c>
      <c r="I407" t="s">
        <v>14</v>
      </c>
      <c r="J407" t="s">
        <v>14</v>
      </c>
      <c r="K407">
        <v>0</v>
      </c>
      <c r="L407" t="s">
        <v>14</v>
      </c>
      <c r="M407" t="s">
        <v>17</v>
      </c>
    </row>
    <row r="408" spans="1:13">
      <c r="A408">
        <v>3465000</v>
      </c>
      <c r="B408">
        <v>5320</v>
      </c>
      <c r="C408">
        <v>2</v>
      </c>
      <c r="D408">
        <v>1</v>
      </c>
      <c r="E408">
        <v>1</v>
      </c>
      <c r="F408" t="s">
        <v>13</v>
      </c>
      <c r="G408" t="s">
        <v>14</v>
      </c>
      <c r="H408" t="s">
        <v>14</v>
      </c>
      <c r="I408" t="s">
        <v>14</v>
      </c>
      <c r="J408" t="s">
        <v>14</v>
      </c>
      <c r="K408">
        <v>1</v>
      </c>
      <c r="L408" t="s">
        <v>13</v>
      </c>
      <c r="M408" t="s">
        <v>17</v>
      </c>
    </row>
    <row r="409" spans="1:13">
      <c r="A409">
        <v>3465000</v>
      </c>
      <c r="B409">
        <v>2145</v>
      </c>
      <c r="C409">
        <v>3</v>
      </c>
      <c r="D409">
        <v>1</v>
      </c>
      <c r="E409">
        <v>3</v>
      </c>
      <c r="F409" t="s">
        <v>13</v>
      </c>
      <c r="G409" t="s">
        <v>14</v>
      </c>
      <c r="H409" t="s">
        <v>14</v>
      </c>
      <c r="I409" t="s">
        <v>14</v>
      </c>
      <c r="J409" t="s">
        <v>14</v>
      </c>
      <c r="K409">
        <v>0</v>
      </c>
      <c r="L409" t="s">
        <v>13</v>
      </c>
      <c r="M409" t="s">
        <v>15</v>
      </c>
    </row>
    <row r="410" spans="1:13">
      <c r="A410">
        <v>3430000</v>
      </c>
      <c r="B410">
        <v>4000</v>
      </c>
      <c r="C410">
        <v>2</v>
      </c>
      <c r="D410">
        <v>1</v>
      </c>
      <c r="E410">
        <v>1</v>
      </c>
      <c r="F410" t="s">
        <v>13</v>
      </c>
      <c r="G410" t="s">
        <v>14</v>
      </c>
      <c r="H410" t="s">
        <v>14</v>
      </c>
      <c r="I410" t="s">
        <v>14</v>
      </c>
      <c r="J410" t="s">
        <v>14</v>
      </c>
      <c r="K410">
        <v>0</v>
      </c>
      <c r="L410" t="s">
        <v>14</v>
      </c>
      <c r="M410" t="s">
        <v>17</v>
      </c>
    </row>
    <row r="411" spans="1:13">
      <c r="A411">
        <v>3430000</v>
      </c>
      <c r="B411">
        <v>3185</v>
      </c>
      <c r="C411">
        <v>2</v>
      </c>
      <c r="D411">
        <v>1</v>
      </c>
      <c r="E411">
        <v>1</v>
      </c>
      <c r="F411" t="s">
        <v>13</v>
      </c>
      <c r="G411" t="s">
        <v>14</v>
      </c>
      <c r="H411" t="s">
        <v>14</v>
      </c>
      <c r="I411" t="s">
        <v>14</v>
      </c>
      <c r="J411" t="s">
        <v>14</v>
      </c>
      <c r="K411">
        <v>2</v>
      </c>
      <c r="L411" t="s">
        <v>14</v>
      </c>
      <c r="M411" t="s">
        <v>17</v>
      </c>
    </row>
    <row r="412" spans="1:13">
      <c r="A412">
        <v>3430000</v>
      </c>
      <c r="B412">
        <v>3850</v>
      </c>
      <c r="C412">
        <v>3</v>
      </c>
      <c r="D412">
        <v>1</v>
      </c>
      <c r="E412">
        <v>1</v>
      </c>
      <c r="F412" t="s">
        <v>13</v>
      </c>
      <c r="G412" t="s">
        <v>14</v>
      </c>
      <c r="H412" t="s">
        <v>14</v>
      </c>
      <c r="I412" t="s">
        <v>14</v>
      </c>
      <c r="J412" t="s">
        <v>14</v>
      </c>
      <c r="K412">
        <v>0</v>
      </c>
      <c r="L412" t="s">
        <v>14</v>
      </c>
      <c r="M412" t="s">
        <v>17</v>
      </c>
    </row>
    <row r="413" spans="1:13">
      <c r="A413">
        <v>3430000</v>
      </c>
      <c r="B413">
        <v>2145</v>
      </c>
      <c r="C413">
        <v>3</v>
      </c>
      <c r="D413">
        <v>1</v>
      </c>
      <c r="E413">
        <v>3</v>
      </c>
      <c r="F413" t="s">
        <v>13</v>
      </c>
      <c r="G413" t="s">
        <v>14</v>
      </c>
      <c r="H413" t="s">
        <v>14</v>
      </c>
      <c r="I413" t="s">
        <v>14</v>
      </c>
      <c r="J413" t="s">
        <v>14</v>
      </c>
      <c r="K413">
        <v>0</v>
      </c>
      <c r="L413" t="s">
        <v>13</v>
      </c>
      <c r="M413" t="s">
        <v>15</v>
      </c>
    </row>
    <row r="414" spans="1:13">
      <c r="A414">
        <v>3430000</v>
      </c>
      <c r="B414">
        <v>2610</v>
      </c>
      <c r="C414">
        <v>3</v>
      </c>
      <c r="D414">
        <v>1</v>
      </c>
      <c r="E414">
        <v>2</v>
      </c>
      <c r="F414" t="s">
        <v>13</v>
      </c>
      <c r="G414" t="s">
        <v>14</v>
      </c>
      <c r="H414" t="s">
        <v>13</v>
      </c>
      <c r="I414" t="s">
        <v>14</v>
      </c>
      <c r="J414" t="s">
        <v>14</v>
      </c>
      <c r="K414">
        <v>0</v>
      </c>
      <c r="L414" t="s">
        <v>13</v>
      </c>
      <c r="M414" t="s">
        <v>17</v>
      </c>
    </row>
    <row r="415" spans="1:13">
      <c r="A415">
        <v>3430000</v>
      </c>
      <c r="B415">
        <v>1950</v>
      </c>
      <c r="C415">
        <v>3</v>
      </c>
      <c r="D415">
        <v>2</v>
      </c>
      <c r="E415">
        <v>2</v>
      </c>
      <c r="F415" t="s">
        <v>13</v>
      </c>
      <c r="G415" t="s">
        <v>14</v>
      </c>
      <c r="H415" t="s">
        <v>13</v>
      </c>
      <c r="I415" t="s">
        <v>14</v>
      </c>
      <c r="J415" t="s">
        <v>14</v>
      </c>
      <c r="K415">
        <v>0</v>
      </c>
      <c r="L415" t="s">
        <v>13</v>
      </c>
      <c r="M415" t="s">
        <v>17</v>
      </c>
    </row>
    <row r="416" spans="1:13">
      <c r="A416">
        <v>3423000</v>
      </c>
      <c r="B416">
        <v>4040</v>
      </c>
      <c r="C416">
        <v>2</v>
      </c>
      <c r="D416">
        <v>1</v>
      </c>
      <c r="E416">
        <v>1</v>
      </c>
      <c r="F416" t="s">
        <v>13</v>
      </c>
      <c r="G416" t="s">
        <v>14</v>
      </c>
      <c r="H416" t="s">
        <v>14</v>
      </c>
      <c r="I416" t="s">
        <v>14</v>
      </c>
      <c r="J416" t="s">
        <v>14</v>
      </c>
      <c r="K416">
        <v>0</v>
      </c>
      <c r="L416" t="s">
        <v>14</v>
      </c>
      <c r="M416" t="s">
        <v>17</v>
      </c>
    </row>
    <row r="417" spans="1:13">
      <c r="A417">
        <v>3395000</v>
      </c>
      <c r="B417">
        <v>4785</v>
      </c>
      <c r="C417">
        <v>3</v>
      </c>
      <c r="D417">
        <v>1</v>
      </c>
      <c r="E417">
        <v>2</v>
      </c>
      <c r="F417" t="s">
        <v>13</v>
      </c>
      <c r="G417" t="s">
        <v>13</v>
      </c>
      <c r="H417" t="s">
        <v>13</v>
      </c>
      <c r="I417" t="s">
        <v>14</v>
      </c>
      <c r="J417" t="s">
        <v>13</v>
      </c>
      <c r="K417">
        <v>1</v>
      </c>
      <c r="L417" t="s">
        <v>14</v>
      </c>
      <c r="M417" t="s">
        <v>15</v>
      </c>
    </row>
    <row r="418" spans="1:13">
      <c r="A418">
        <v>3395000</v>
      </c>
      <c r="B418">
        <v>3450</v>
      </c>
      <c r="C418">
        <v>3</v>
      </c>
      <c r="D418">
        <v>1</v>
      </c>
      <c r="E418">
        <v>1</v>
      </c>
      <c r="F418" t="s">
        <v>13</v>
      </c>
      <c r="G418" t="s">
        <v>14</v>
      </c>
      <c r="H418" t="s">
        <v>13</v>
      </c>
      <c r="I418" t="s">
        <v>14</v>
      </c>
      <c r="J418" t="s">
        <v>14</v>
      </c>
      <c r="K418">
        <v>2</v>
      </c>
      <c r="L418" t="s">
        <v>14</v>
      </c>
      <c r="M418" t="s">
        <v>17</v>
      </c>
    </row>
    <row r="419" spans="1:13">
      <c r="A419">
        <v>3395000</v>
      </c>
      <c r="B419">
        <v>3640</v>
      </c>
      <c r="C419">
        <v>2</v>
      </c>
      <c r="D419">
        <v>1</v>
      </c>
      <c r="E419">
        <v>1</v>
      </c>
      <c r="F419" t="s">
        <v>13</v>
      </c>
      <c r="G419" t="s">
        <v>14</v>
      </c>
      <c r="H419" t="s">
        <v>14</v>
      </c>
      <c r="I419" t="s">
        <v>14</v>
      </c>
      <c r="J419" t="s">
        <v>14</v>
      </c>
      <c r="K419">
        <v>0</v>
      </c>
      <c r="L419" t="s">
        <v>14</v>
      </c>
      <c r="M419" t="s">
        <v>15</v>
      </c>
    </row>
    <row r="420" spans="1:13">
      <c r="A420">
        <v>3360000</v>
      </c>
      <c r="B420">
        <v>3500</v>
      </c>
      <c r="C420">
        <v>4</v>
      </c>
      <c r="D420">
        <v>1</v>
      </c>
      <c r="E420">
        <v>2</v>
      </c>
      <c r="F420" t="s">
        <v>13</v>
      </c>
      <c r="G420" t="s">
        <v>14</v>
      </c>
      <c r="H420" t="s">
        <v>14</v>
      </c>
      <c r="I420" t="s">
        <v>14</v>
      </c>
      <c r="J420" t="s">
        <v>13</v>
      </c>
      <c r="K420">
        <v>2</v>
      </c>
      <c r="L420" t="s">
        <v>14</v>
      </c>
      <c r="M420" t="s">
        <v>17</v>
      </c>
    </row>
    <row r="421" spans="1:13">
      <c r="A421">
        <v>3360000</v>
      </c>
      <c r="B421">
        <v>4960</v>
      </c>
      <c r="C421">
        <v>4</v>
      </c>
      <c r="D421">
        <v>1</v>
      </c>
      <c r="E421">
        <v>3</v>
      </c>
      <c r="F421" t="s">
        <v>14</v>
      </c>
      <c r="G421" t="s">
        <v>14</v>
      </c>
      <c r="H421" t="s">
        <v>14</v>
      </c>
      <c r="I421" t="s">
        <v>14</v>
      </c>
      <c r="J421" t="s">
        <v>14</v>
      </c>
      <c r="K421">
        <v>0</v>
      </c>
      <c r="L421" t="s">
        <v>14</v>
      </c>
      <c r="M421" t="s">
        <v>16</v>
      </c>
    </row>
    <row r="422" spans="1:13">
      <c r="A422">
        <v>3360000</v>
      </c>
      <c r="B422">
        <v>4120</v>
      </c>
      <c r="C422">
        <v>2</v>
      </c>
      <c r="D422">
        <v>1</v>
      </c>
      <c r="E422">
        <v>2</v>
      </c>
      <c r="F422" t="s">
        <v>13</v>
      </c>
      <c r="G422" t="s">
        <v>14</v>
      </c>
      <c r="H422" t="s">
        <v>14</v>
      </c>
      <c r="I422" t="s">
        <v>14</v>
      </c>
      <c r="J422" t="s">
        <v>14</v>
      </c>
      <c r="K422">
        <v>0</v>
      </c>
      <c r="L422" t="s">
        <v>14</v>
      </c>
      <c r="M422" t="s">
        <v>17</v>
      </c>
    </row>
    <row r="423" spans="1:13">
      <c r="A423">
        <v>3360000</v>
      </c>
      <c r="B423">
        <v>4750</v>
      </c>
      <c r="C423">
        <v>2</v>
      </c>
      <c r="D423">
        <v>1</v>
      </c>
      <c r="E423">
        <v>1</v>
      </c>
      <c r="F423" t="s">
        <v>13</v>
      </c>
      <c r="G423" t="s">
        <v>14</v>
      </c>
      <c r="H423" t="s">
        <v>14</v>
      </c>
      <c r="I423" t="s">
        <v>14</v>
      </c>
      <c r="J423" t="s">
        <v>14</v>
      </c>
      <c r="K423">
        <v>0</v>
      </c>
      <c r="L423" t="s">
        <v>14</v>
      </c>
      <c r="M423" t="s">
        <v>17</v>
      </c>
    </row>
    <row r="424" spans="1:13">
      <c r="A424">
        <v>3360000</v>
      </c>
      <c r="B424">
        <v>3720</v>
      </c>
      <c r="C424">
        <v>2</v>
      </c>
      <c r="D424">
        <v>1</v>
      </c>
      <c r="E424">
        <v>1</v>
      </c>
      <c r="F424" t="s">
        <v>14</v>
      </c>
      <c r="G424" t="s">
        <v>14</v>
      </c>
      <c r="H424" t="s">
        <v>14</v>
      </c>
      <c r="I424" t="s">
        <v>14</v>
      </c>
      <c r="J424" t="s">
        <v>13</v>
      </c>
      <c r="K424">
        <v>0</v>
      </c>
      <c r="L424" t="s">
        <v>14</v>
      </c>
      <c r="M424" t="s">
        <v>17</v>
      </c>
    </row>
    <row r="425" spans="1:13">
      <c r="A425">
        <v>3360000</v>
      </c>
      <c r="B425">
        <v>3750</v>
      </c>
      <c r="C425">
        <v>3</v>
      </c>
      <c r="D425">
        <v>1</v>
      </c>
      <c r="E425">
        <v>1</v>
      </c>
      <c r="F425" t="s">
        <v>13</v>
      </c>
      <c r="G425" t="s">
        <v>14</v>
      </c>
      <c r="H425" t="s">
        <v>14</v>
      </c>
      <c r="I425" t="s">
        <v>14</v>
      </c>
      <c r="J425" t="s">
        <v>14</v>
      </c>
      <c r="K425">
        <v>0</v>
      </c>
      <c r="L425" t="s">
        <v>14</v>
      </c>
      <c r="M425" t="s">
        <v>17</v>
      </c>
    </row>
    <row r="426" spans="1:13">
      <c r="A426">
        <v>3360000</v>
      </c>
      <c r="B426">
        <v>3100</v>
      </c>
      <c r="C426">
        <v>3</v>
      </c>
      <c r="D426">
        <v>1</v>
      </c>
      <c r="E426">
        <v>2</v>
      </c>
      <c r="F426" t="s">
        <v>14</v>
      </c>
      <c r="G426" t="s">
        <v>14</v>
      </c>
      <c r="H426" t="s">
        <v>13</v>
      </c>
      <c r="I426" t="s">
        <v>14</v>
      </c>
      <c r="J426" t="s">
        <v>14</v>
      </c>
      <c r="K426">
        <v>0</v>
      </c>
      <c r="L426" t="s">
        <v>14</v>
      </c>
      <c r="M426" t="s">
        <v>16</v>
      </c>
    </row>
    <row r="427" spans="1:13">
      <c r="A427">
        <v>3360000</v>
      </c>
      <c r="B427">
        <v>3185</v>
      </c>
      <c r="C427">
        <v>2</v>
      </c>
      <c r="D427">
        <v>1</v>
      </c>
      <c r="E427">
        <v>1</v>
      </c>
      <c r="F427" t="s">
        <v>13</v>
      </c>
      <c r="G427" t="s">
        <v>14</v>
      </c>
      <c r="H427" t="s">
        <v>13</v>
      </c>
      <c r="I427" t="s">
        <v>14</v>
      </c>
      <c r="J427" t="s">
        <v>14</v>
      </c>
      <c r="K427">
        <v>2</v>
      </c>
      <c r="L427" t="s">
        <v>14</v>
      </c>
      <c r="M427" t="s">
        <v>15</v>
      </c>
    </row>
    <row r="428" spans="1:13">
      <c r="A428">
        <v>3353000</v>
      </c>
      <c r="B428">
        <v>2700</v>
      </c>
      <c r="C428">
        <v>3</v>
      </c>
      <c r="D428">
        <v>1</v>
      </c>
      <c r="E428">
        <v>1</v>
      </c>
      <c r="F428" t="s">
        <v>14</v>
      </c>
      <c r="G428" t="s">
        <v>14</v>
      </c>
      <c r="H428" t="s">
        <v>14</v>
      </c>
      <c r="I428" t="s">
        <v>14</v>
      </c>
      <c r="J428" t="s">
        <v>14</v>
      </c>
      <c r="K428">
        <v>0</v>
      </c>
      <c r="L428" t="s">
        <v>14</v>
      </c>
      <c r="M428" t="s">
        <v>15</v>
      </c>
    </row>
    <row r="429" spans="1:13">
      <c r="A429">
        <v>3332000</v>
      </c>
      <c r="B429">
        <v>2145</v>
      </c>
      <c r="C429">
        <v>3</v>
      </c>
      <c r="D429">
        <v>1</v>
      </c>
      <c r="E429">
        <v>2</v>
      </c>
      <c r="F429" t="s">
        <v>13</v>
      </c>
      <c r="G429" t="s">
        <v>14</v>
      </c>
      <c r="H429" t="s">
        <v>13</v>
      </c>
      <c r="I429" t="s">
        <v>14</v>
      </c>
      <c r="J429" t="s">
        <v>14</v>
      </c>
      <c r="K429">
        <v>0</v>
      </c>
      <c r="L429" t="s">
        <v>13</v>
      </c>
      <c r="M429" t="s">
        <v>15</v>
      </c>
    </row>
    <row r="430" spans="1:13">
      <c r="A430">
        <v>3325000</v>
      </c>
      <c r="B430">
        <v>4040</v>
      </c>
      <c r="C430">
        <v>2</v>
      </c>
      <c r="D430">
        <v>1</v>
      </c>
      <c r="E430">
        <v>1</v>
      </c>
      <c r="F430" t="s">
        <v>13</v>
      </c>
      <c r="G430" t="s">
        <v>14</v>
      </c>
      <c r="H430" t="s">
        <v>14</v>
      </c>
      <c r="I430" t="s">
        <v>14</v>
      </c>
      <c r="J430" t="s">
        <v>14</v>
      </c>
      <c r="K430">
        <v>1</v>
      </c>
      <c r="L430" t="s">
        <v>14</v>
      </c>
      <c r="M430" t="s">
        <v>17</v>
      </c>
    </row>
    <row r="431" spans="1:13">
      <c r="A431">
        <v>3325000</v>
      </c>
      <c r="B431">
        <v>4775</v>
      </c>
      <c r="C431">
        <v>4</v>
      </c>
      <c r="D431">
        <v>1</v>
      </c>
      <c r="E431">
        <v>2</v>
      </c>
      <c r="F431" t="s">
        <v>13</v>
      </c>
      <c r="G431" t="s">
        <v>14</v>
      </c>
      <c r="H431" t="s">
        <v>14</v>
      </c>
      <c r="I431" t="s">
        <v>14</v>
      </c>
      <c r="J431" t="s">
        <v>14</v>
      </c>
      <c r="K431">
        <v>0</v>
      </c>
      <c r="L431" t="s">
        <v>14</v>
      </c>
      <c r="M431" t="s">
        <v>17</v>
      </c>
    </row>
    <row r="432" spans="1:13">
      <c r="A432">
        <v>3290000</v>
      </c>
      <c r="B432">
        <v>2500</v>
      </c>
      <c r="C432">
        <v>2</v>
      </c>
      <c r="D432">
        <v>1</v>
      </c>
      <c r="E432">
        <v>1</v>
      </c>
      <c r="F432" t="s">
        <v>14</v>
      </c>
      <c r="G432" t="s">
        <v>14</v>
      </c>
      <c r="H432" t="s">
        <v>14</v>
      </c>
      <c r="I432" t="s">
        <v>14</v>
      </c>
      <c r="J432" t="s">
        <v>13</v>
      </c>
      <c r="K432">
        <v>0</v>
      </c>
      <c r="L432" t="s">
        <v>14</v>
      </c>
      <c r="M432" t="s">
        <v>17</v>
      </c>
    </row>
    <row r="433" spans="1:13">
      <c r="A433">
        <v>3290000</v>
      </c>
      <c r="B433">
        <v>3180</v>
      </c>
      <c r="C433">
        <v>4</v>
      </c>
      <c r="D433">
        <v>1</v>
      </c>
      <c r="E433">
        <v>2</v>
      </c>
      <c r="F433" t="s">
        <v>13</v>
      </c>
      <c r="G433" t="s">
        <v>14</v>
      </c>
      <c r="H433" t="s">
        <v>13</v>
      </c>
      <c r="I433" t="s">
        <v>14</v>
      </c>
      <c r="J433" t="s">
        <v>13</v>
      </c>
      <c r="K433">
        <v>0</v>
      </c>
      <c r="L433" t="s">
        <v>14</v>
      </c>
      <c r="M433" t="s">
        <v>17</v>
      </c>
    </row>
    <row r="434" spans="1:13">
      <c r="A434">
        <v>3290000</v>
      </c>
      <c r="B434">
        <v>6060</v>
      </c>
      <c r="C434">
        <v>3</v>
      </c>
      <c r="D434">
        <v>1</v>
      </c>
      <c r="E434">
        <v>1</v>
      </c>
      <c r="F434" t="s">
        <v>13</v>
      </c>
      <c r="G434" t="s">
        <v>13</v>
      </c>
      <c r="H434" t="s">
        <v>13</v>
      </c>
      <c r="I434" t="s">
        <v>14</v>
      </c>
      <c r="J434" t="s">
        <v>14</v>
      </c>
      <c r="K434">
        <v>0</v>
      </c>
      <c r="L434" t="s">
        <v>14</v>
      </c>
      <c r="M434" t="s">
        <v>15</v>
      </c>
    </row>
    <row r="435" spans="1:13">
      <c r="A435">
        <v>3290000</v>
      </c>
      <c r="B435">
        <v>3480</v>
      </c>
      <c r="C435">
        <v>4</v>
      </c>
      <c r="D435">
        <v>1</v>
      </c>
      <c r="E435">
        <v>2</v>
      </c>
      <c r="F435" t="s">
        <v>14</v>
      </c>
      <c r="G435" t="s">
        <v>14</v>
      </c>
      <c r="H435" t="s">
        <v>14</v>
      </c>
      <c r="I435" t="s">
        <v>14</v>
      </c>
      <c r="J435" t="s">
        <v>14</v>
      </c>
      <c r="K435">
        <v>1</v>
      </c>
      <c r="L435" t="s">
        <v>14</v>
      </c>
      <c r="M435" t="s">
        <v>16</v>
      </c>
    </row>
    <row r="436" spans="1:13">
      <c r="A436">
        <v>3290000</v>
      </c>
      <c r="B436">
        <v>3792</v>
      </c>
      <c r="C436">
        <v>4</v>
      </c>
      <c r="D436">
        <v>1</v>
      </c>
      <c r="E436">
        <v>2</v>
      </c>
      <c r="F436" t="s">
        <v>13</v>
      </c>
      <c r="G436" t="s">
        <v>14</v>
      </c>
      <c r="H436" t="s">
        <v>14</v>
      </c>
      <c r="I436" t="s">
        <v>14</v>
      </c>
      <c r="J436" t="s">
        <v>14</v>
      </c>
      <c r="K436">
        <v>0</v>
      </c>
      <c r="L436" t="s">
        <v>14</v>
      </c>
      <c r="M436" t="s">
        <v>16</v>
      </c>
    </row>
    <row r="437" spans="1:13">
      <c r="A437">
        <v>3290000</v>
      </c>
      <c r="B437">
        <v>4040</v>
      </c>
      <c r="C437">
        <v>2</v>
      </c>
      <c r="D437">
        <v>1</v>
      </c>
      <c r="E437">
        <v>1</v>
      </c>
      <c r="F437" t="s">
        <v>13</v>
      </c>
      <c r="G437" t="s">
        <v>14</v>
      </c>
      <c r="H437" t="s">
        <v>14</v>
      </c>
      <c r="I437" t="s">
        <v>14</v>
      </c>
      <c r="J437" t="s">
        <v>14</v>
      </c>
      <c r="K437">
        <v>0</v>
      </c>
      <c r="L437" t="s">
        <v>14</v>
      </c>
      <c r="M437" t="s">
        <v>17</v>
      </c>
    </row>
    <row r="438" spans="1:13">
      <c r="A438">
        <v>3290000</v>
      </c>
      <c r="B438">
        <v>2145</v>
      </c>
      <c r="C438">
        <v>3</v>
      </c>
      <c r="D438">
        <v>1</v>
      </c>
      <c r="E438">
        <v>2</v>
      </c>
      <c r="F438" t="s">
        <v>13</v>
      </c>
      <c r="G438" t="s">
        <v>14</v>
      </c>
      <c r="H438" t="s">
        <v>13</v>
      </c>
      <c r="I438" t="s">
        <v>14</v>
      </c>
      <c r="J438" t="s">
        <v>14</v>
      </c>
      <c r="K438">
        <v>0</v>
      </c>
      <c r="L438" t="s">
        <v>13</v>
      </c>
      <c r="M438" t="s">
        <v>15</v>
      </c>
    </row>
    <row r="439" spans="1:13">
      <c r="A439">
        <v>3290000</v>
      </c>
      <c r="B439">
        <v>5880</v>
      </c>
      <c r="C439">
        <v>3</v>
      </c>
      <c r="D439">
        <v>1</v>
      </c>
      <c r="E439">
        <v>1</v>
      </c>
      <c r="F439" t="s">
        <v>13</v>
      </c>
      <c r="G439" t="s">
        <v>14</v>
      </c>
      <c r="H439" t="s">
        <v>14</v>
      </c>
      <c r="I439" t="s">
        <v>14</v>
      </c>
      <c r="J439" t="s">
        <v>14</v>
      </c>
      <c r="K439">
        <v>1</v>
      </c>
      <c r="L439" t="s">
        <v>14</v>
      </c>
      <c r="M439" t="s">
        <v>17</v>
      </c>
    </row>
    <row r="440" spans="1:13">
      <c r="A440">
        <v>3255000</v>
      </c>
      <c r="B440">
        <v>4500</v>
      </c>
      <c r="C440">
        <v>2</v>
      </c>
      <c r="D440">
        <v>1</v>
      </c>
      <c r="E440">
        <v>1</v>
      </c>
      <c r="F440" t="s">
        <v>14</v>
      </c>
      <c r="G440" t="s">
        <v>14</v>
      </c>
      <c r="H440" t="s">
        <v>14</v>
      </c>
      <c r="I440" t="s">
        <v>14</v>
      </c>
      <c r="J440" t="s">
        <v>14</v>
      </c>
      <c r="K440">
        <v>0</v>
      </c>
      <c r="L440" t="s">
        <v>14</v>
      </c>
      <c r="M440" t="s">
        <v>16</v>
      </c>
    </row>
    <row r="441" spans="1:13">
      <c r="A441">
        <v>3255000</v>
      </c>
      <c r="B441">
        <v>3930</v>
      </c>
      <c r="C441">
        <v>2</v>
      </c>
      <c r="D441">
        <v>1</v>
      </c>
      <c r="E441">
        <v>1</v>
      </c>
      <c r="F441" t="s">
        <v>14</v>
      </c>
      <c r="G441" t="s">
        <v>14</v>
      </c>
      <c r="H441" t="s">
        <v>14</v>
      </c>
      <c r="I441" t="s">
        <v>14</v>
      </c>
      <c r="J441" t="s">
        <v>14</v>
      </c>
      <c r="K441">
        <v>0</v>
      </c>
      <c r="L441" t="s">
        <v>14</v>
      </c>
      <c r="M441" t="s">
        <v>17</v>
      </c>
    </row>
    <row r="442" spans="1:13">
      <c r="A442">
        <v>3234000</v>
      </c>
      <c r="B442">
        <v>3640</v>
      </c>
      <c r="C442">
        <v>4</v>
      </c>
      <c r="D442">
        <v>1</v>
      </c>
      <c r="E442">
        <v>2</v>
      </c>
      <c r="F442" t="s">
        <v>13</v>
      </c>
      <c r="G442" t="s">
        <v>14</v>
      </c>
      <c r="H442" t="s">
        <v>13</v>
      </c>
      <c r="I442" t="s">
        <v>14</v>
      </c>
      <c r="J442" t="s">
        <v>14</v>
      </c>
      <c r="K442">
        <v>0</v>
      </c>
      <c r="L442" t="s">
        <v>14</v>
      </c>
      <c r="M442" t="s">
        <v>17</v>
      </c>
    </row>
    <row r="443" spans="1:13">
      <c r="A443">
        <v>3220000</v>
      </c>
      <c r="B443">
        <v>4370</v>
      </c>
      <c r="C443">
        <v>3</v>
      </c>
      <c r="D443">
        <v>1</v>
      </c>
      <c r="E443">
        <v>2</v>
      </c>
      <c r="F443" t="s">
        <v>13</v>
      </c>
      <c r="G443" t="s">
        <v>14</v>
      </c>
      <c r="H443" t="s">
        <v>14</v>
      </c>
      <c r="I443" t="s">
        <v>14</v>
      </c>
      <c r="J443" t="s">
        <v>14</v>
      </c>
      <c r="K443">
        <v>0</v>
      </c>
      <c r="L443" t="s">
        <v>14</v>
      </c>
      <c r="M443" t="s">
        <v>17</v>
      </c>
    </row>
    <row r="444" spans="1:13">
      <c r="A444">
        <v>3220000</v>
      </c>
      <c r="B444">
        <v>2684</v>
      </c>
      <c r="C444">
        <v>2</v>
      </c>
      <c r="D444">
        <v>1</v>
      </c>
      <c r="E444">
        <v>1</v>
      </c>
      <c r="F444" t="s">
        <v>13</v>
      </c>
      <c r="G444" t="s">
        <v>14</v>
      </c>
      <c r="H444" t="s">
        <v>14</v>
      </c>
      <c r="I444" t="s">
        <v>14</v>
      </c>
      <c r="J444" t="s">
        <v>13</v>
      </c>
      <c r="K444">
        <v>1</v>
      </c>
      <c r="L444" t="s">
        <v>14</v>
      </c>
      <c r="M444" t="s">
        <v>17</v>
      </c>
    </row>
    <row r="445" spans="1:13">
      <c r="A445">
        <v>3220000</v>
      </c>
      <c r="B445">
        <v>4320</v>
      </c>
      <c r="C445">
        <v>3</v>
      </c>
      <c r="D445">
        <v>1</v>
      </c>
      <c r="E445">
        <v>1</v>
      </c>
      <c r="F445" t="s">
        <v>14</v>
      </c>
      <c r="G445" t="s">
        <v>14</v>
      </c>
      <c r="H445" t="s">
        <v>14</v>
      </c>
      <c r="I445" t="s">
        <v>14</v>
      </c>
      <c r="J445" t="s">
        <v>14</v>
      </c>
      <c r="K445">
        <v>1</v>
      </c>
      <c r="L445" t="s">
        <v>14</v>
      </c>
      <c r="M445" t="s">
        <v>17</v>
      </c>
    </row>
    <row r="446" spans="1:13">
      <c r="A446">
        <v>3220000</v>
      </c>
      <c r="B446">
        <v>3120</v>
      </c>
      <c r="C446">
        <v>3</v>
      </c>
      <c r="D446">
        <v>1</v>
      </c>
      <c r="E446">
        <v>2</v>
      </c>
      <c r="F446" t="s">
        <v>14</v>
      </c>
      <c r="G446" t="s">
        <v>14</v>
      </c>
      <c r="H446" t="s">
        <v>14</v>
      </c>
      <c r="I446" t="s">
        <v>14</v>
      </c>
      <c r="J446" t="s">
        <v>14</v>
      </c>
      <c r="K446">
        <v>0</v>
      </c>
      <c r="L446" t="s">
        <v>14</v>
      </c>
      <c r="M446" t="s">
        <v>15</v>
      </c>
    </row>
    <row r="447" spans="1:13">
      <c r="A447">
        <v>3150000</v>
      </c>
      <c r="B447">
        <v>3450</v>
      </c>
      <c r="C447">
        <v>1</v>
      </c>
      <c r="D447">
        <v>1</v>
      </c>
      <c r="E447">
        <v>1</v>
      </c>
      <c r="F447" t="s">
        <v>13</v>
      </c>
      <c r="G447" t="s">
        <v>14</v>
      </c>
      <c r="H447" t="s">
        <v>14</v>
      </c>
      <c r="I447" t="s">
        <v>14</v>
      </c>
      <c r="J447" t="s">
        <v>14</v>
      </c>
      <c r="K447">
        <v>0</v>
      </c>
      <c r="L447" t="s">
        <v>14</v>
      </c>
      <c r="M447" t="s">
        <v>15</v>
      </c>
    </row>
    <row r="448" spans="1:13">
      <c r="A448">
        <v>3150000</v>
      </c>
      <c r="B448">
        <v>3986</v>
      </c>
      <c r="C448">
        <v>2</v>
      </c>
      <c r="D448">
        <v>2</v>
      </c>
      <c r="E448">
        <v>1</v>
      </c>
      <c r="F448" t="s">
        <v>14</v>
      </c>
      <c r="G448" t="s">
        <v>13</v>
      </c>
      <c r="H448" t="s">
        <v>13</v>
      </c>
      <c r="I448" t="s">
        <v>14</v>
      </c>
      <c r="J448" t="s">
        <v>14</v>
      </c>
      <c r="K448">
        <v>1</v>
      </c>
      <c r="L448" t="s">
        <v>14</v>
      </c>
      <c r="M448" t="s">
        <v>17</v>
      </c>
    </row>
    <row r="449" spans="1:13">
      <c r="A449">
        <v>3150000</v>
      </c>
      <c r="B449">
        <v>3500</v>
      </c>
      <c r="C449">
        <v>2</v>
      </c>
      <c r="D449">
        <v>1</v>
      </c>
      <c r="E449">
        <v>1</v>
      </c>
      <c r="F449" t="s">
        <v>14</v>
      </c>
      <c r="G449" t="s">
        <v>14</v>
      </c>
      <c r="H449" t="s">
        <v>13</v>
      </c>
      <c r="I449" t="s">
        <v>14</v>
      </c>
      <c r="J449" t="s">
        <v>14</v>
      </c>
      <c r="K449">
        <v>0</v>
      </c>
      <c r="L449" t="s">
        <v>14</v>
      </c>
      <c r="M449" t="s">
        <v>16</v>
      </c>
    </row>
    <row r="450" spans="1:13">
      <c r="A450">
        <v>3150000</v>
      </c>
      <c r="B450">
        <v>4095</v>
      </c>
      <c r="C450">
        <v>2</v>
      </c>
      <c r="D450">
        <v>1</v>
      </c>
      <c r="E450">
        <v>1</v>
      </c>
      <c r="F450" t="s">
        <v>13</v>
      </c>
      <c r="G450" t="s">
        <v>14</v>
      </c>
      <c r="H450" t="s">
        <v>14</v>
      </c>
      <c r="I450" t="s">
        <v>14</v>
      </c>
      <c r="J450" t="s">
        <v>14</v>
      </c>
      <c r="K450">
        <v>2</v>
      </c>
      <c r="L450" t="s">
        <v>14</v>
      </c>
      <c r="M450" t="s">
        <v>16</v>
      </c>
    </row>
    <row r="451" spans="1:13">
      <c r="A451">
        <v>3150000</v>
      </c>
      <c r="B451">
        <v>1650</v>
      </c>
      <c r="C451">
        <v>3</v>
      </c>
      <c r="D451">
        <v>1</v>
      </c>
      <c r="E451">
        <v>2</v>
      </c>
      <c r="F451" t="s">
        <v>14</v>
      </c>
      <c r="G451" t="s">
        <v>14</v>
      </c>
      <c r="H451" t="s">
        <v>13</v>
      </c>
      <c r="I451" t="s">
        <v>14</v>
      </c>
      <c r="J451" t="s">
        <v>14</v>
      </c>
      <c r="K451">
        <v>0</v>
      </c>
      <c r="L451" t="s">
        <v>14</v>
      </c>
      <c r="M451" t="s">
        <v>17</v>
      </c>
    </row>
    <row r="452" spans="1:13">
      <c r="A452">
        <v>3150000</v>
      </c>
      <c r="B452">
        <v>3450</v>
      </c>
      <c r="C452">
        <v>3</v>
      </c>
      <c r="D452">
        <v>1</v>
      </c>
      <c r="E452">
        <v>2</v>
      </c>
      <c r="F452" t="s">
        <v>13</v>
      </c>
      <c r="G452" t="s">
        <v>14</v>
      </c>
      <c r="H452" t="s">
        <v>13</v>
      </c>
      <c r="I452" t="s">
        <v>14</v>
      </c>
      <c r="J452" t="s">
        <v>14</v>
      </c>
      <c r="K452">
        <v>0</v>
      </c>
      <c r="L452" t="s">
        <v>14</v>
      </c>
      <c r="M452" t="s">
        <v>16</v>
      </c>
    </row>
    <row r="453" spans="1:13">
      <c r="A453">
        <v>3150000</v>
      </c>
      <c r="B453">
        <v>6750</v>
      </c>
      <c r="C453">
        <v>2</v>
      </c>
      <c r="D453">
        <v>1</v>
      </c>
      <c r="E453">
        <v>1</v>
      </c>
      <c r="F453" t="s">
        <v>13</v>
      </c>
      <c r="G453" t="s">
        <v>14</v>
      </c>
      <c r="H453" t="s">
        <v>14</v>
      </c>
      <c r="I453" t="s">
        <v>14</v>
      </c>
      <c r="J453" t="s">
        <v>14</v>
      </c>
      <c r="K453">
        <v>0</v>
      </c>
      <c r="L453" t="s">
        <v>14</v>
      </c>
      <c r="M453" t="s">
        <v>16</v>
      </c>
    </row>
    <row r="454" spans="1:13">
      <c r="A454">
        <v>3150000</v>
      </c>
      <c r="B454">
        <v>9000</v>
      </c>
      <c r="C454">
        <v>3</v>
      </c>
      <c r="D454">
        <v>1</v>
      </c>
      <c r="E454">
        <v>2</v>
      </c>
      <c r="F454" t="s">
        <v>13</v>
      </c>
      <c r="G454" t="s">
        <v>14</v>
      </c>
      <c r="H454" t="s">
        <v>14</v>
      </c>
      <c r="I454" t="s">
        <v>14</v>
      </c>
      <c r="J454" t="s">
        <v>14</v>
      </c>
      <c r="K454">
        <v>2</v>
      </c>
      <c r="L454" t="s">
        <v>14</v>
      </c>
      <c r="M454" t="s">
        <v>16</v>
      </c>
    </row>
    <row r="455" spans="1:13">
      <c r="A455">
        <v>3150000</v>
      </c>
      <c r="B455">
        <v>3069</v>
      </c>
      <c r="C455">
        <v>2</v>
      </c>
      <c r="D455">
        <v>1</v>
      </c>
      <c r="E455">
        <v>1</v>
      </c>
      <c r="F455" t="s">
        <v>13</v>
      </c>
      <c r="G455" t="s">
        <v>14</v>
      </c>
      <c r="H455" t="s">
        <v>14</v>
      </c>
      <c r="I455" t="s">
        <v>14</v>
      </c>
      <c r="J455" t="s">
        <v>14</v>
      </c>
      <c r="K455">
        <v>1</v>
      </c>
      <c r="L455" t="s">
        <v>14</v>
      </c>
      <c r="M455" t="s">
        <v>17</v>
      </c>
    </row>
    <row r="456" spans="1:13">
      <c r="A456">
        <v>3143000</v>
      </c>
      <c r="B456">
        <v>4500</v>
      </c>
      <c r="C456">
        <v>3</v>
      </c>
      <c r="D456">
        <v>1</v>
      </c>
      <c r="E456">
        <v>2</v>
      </c>
      <c r="F456" t="s">
        <v>13</v>
      </c>
      <c r="G456" t="s">
        <v>14</v>
      </c>
      <c r="H456" t="s">
        <v>14</v>
      </c>
      <c r="I456" t="s">
        <v>14</v>
      </c>
      <c r="J456" t="s">
        <v>13</v>
      </c>
      <c r="K456">
        <v>0</v>
      </c>
      <c r="L456" t="s">
        <v>14</v>
      </c>
      <c r="M456" t="s">
        <v>17</v>
      </c>
    </row>
    <row r="457" spans="1:13">
      <c r="A457">
        <v>3129000</v>
      </c>
      <c r="B457">
        <v>5495</v>
      </c>
      <c r="C457">
        <v>3</v>
      </c>
      <c r="D457">
        <v>1</v>
      </c>
      <c r="E457">
        <v>1</v>
      </c>
      <c r="F457" t="s">
        <v>13</v>
      </c>
      <c r="G457" t="s">
        <v>14</v>
      </c>
      <c r="H457" t="s">
        <v>13</v>
      </c>
      <c r="I457" t="s">
        <v>14</v>
      </c>
      <c r="J457" t="s">
        <v>14</v>
      </c>
      <c r="K457">
        <v>0</v>
      </c>
      <c r="L457" t="s">
        <v>14</v>
      </c>
      <c r="M457" t="s">
        <v>17</v>
      </c>
    </row>
    <row r="458" spans="1:13">
      <c r="A458">
        <v>3118850</v>
      </c>
      <c r="B458">
        <v>2398</v>
      </c>
      <c r="C458">
        <v>3</v>
      </c>
      <c r="D458">
        <v>1</v>
      </c>
      <c r="E458">
        <v>1</v>
      </c>
      <c r="F458" t="s">
        <v>13</v>
      </c>
      <c r="G458" t="s">
        <v>14</v>
      </c>
      <c r="H458" t="s">
        <v>14</v>
      </c>
      <c r="I458" t="s">
        <v>14</v>
      </c>
      <c r="J458" t="s">
        <v>14</v>
      </c>
      <c r="K458">
        <v>0</v>
      </c>
      <c r="L458" t="s">
        <v>13</v>
      </c>
      <c r="M458" t="s">
        <v>16</v>
      </c>
    </row>
    <row r="459" spans="1:13">
      <c r="A459">
        <v>3115000</v>
      </c>
      <c r="B459">
        <v>3000</v>
      </c>
      <c r="C459">
        <v>3</v>
      </c>
      <c r="D459">
        <v>1</v>
      </c>
      <c r="E459">
        <v>1</v>
      </c>
      <c r="F459" t="s">
        <v>14</v>
      </c>
      <c r="G459" t="s">
        <v>14</v>
      </c>
      <c r="H459" t="s">
        <v>14</v>
      </c>
      <c r="I459" t="s">
        <v>14</v>
      </c>
      <c r="J459" t="s">
        <v>13</v>
      </c>
      <c r="K459">
        <v>0</v>
      </c>
      <c r="L459" t="s">
        <v>14</v>
      </c>
      <c r="M459" t="s">
        <v>17</v>
      </c>
    </row>
    <row r="460" spans="1:13">
      <c r="A460">
        <v>3115000</v>
      </c>
      <c r="B460">
        <v>3850</v>
      </c>
      <c r="C460">
        <v>3</v>
      </c>
      <c r="D460">
        <v>1</v>
      </c>
      <c r="E460">
        <v>2</v>
      </c>
      <c r="F460" t="s">
        <v>13</v>
      </c>
      <c r="G460" t="s">
        <v>14</v>
      </c>
      <c r="H460" t="s">
        <v>14</v>
      </c>
      <c r="I460" t="s">
        <v>14</v>
      </c>
      <c r="J460" t="s">
        <v>14</v>
      </c>
      <c r="K460">
        <v>0</v>
      </c>
      <c r="L460" t="s">
        <v>14</v>
      </c>
      <c r="M460" t="s">
        <v>17</v>
      </c>
    </row>
    <row r="461" spans="1:13">
      <c r="A461">
        <v>3115000</v>
      </c>
      <c r="B461">
        <v>3500</v>
      </c>
      <c r="C461">
        <v>2</v>
      </c>
      <c r="D461">
        <v>1</v>
      </c>
      <c r="E461">
        <v>1</v>
      </c>
      <c r="F461" t="s">
        <v>13</v>
      </c>
      <c r="G461" t="s">
        <v>14</v>
      </c>
      <c r="H461" t="s">
        <v>14</v>
      </c>
      <c r="I461" t="s">
        <v>14</v>
      </c>
      <c r="J461" t="s">
        <v>14</v>
      </c>
      <c r="K461">
        <v>0</v>
      </c>
      <c r="L461" t="s">
        <v>14</v>
      </c>
      <c r="M461" t="s">
        <v>17</v>
      </c>
    </row>
    <row r="462" spans="1:13">
      <c r="A462">
        <v>3087000</v>
      </c>
      <c r="B462">
        <v>8100</v>
      </c>
      <c r="C462">
        <v>2</v>
      </c>
      <c r="D462">
        <v>1</v>
      </c>
      <c r="E462">
        <v>1</v>
      </c>
      <c r="F462" t="s">
        <v>13</v>
      </c>
      <c r="G462" t="s">
        <v>14</v>
      </c>
      <c r="H462" t="s">
        <v>14</v>
      </c>
      <c r="I462" t="s">
        <v>14</v>
      </c>
      <c r="J462" t="s">
        <v>14</v>
      </c>
      <c r="K462">
        <v>1</v>
      </c>
      <c r="L462" t="s">
        <v>14</v>
      </c>
      <c r="M462" t="s">
        <v>17</v>
      </c>
    </row>
    <row r="463" spans="1:13">
      <c r="A463">
        <v>3080000</v>
      </c>
      <c r="B463">
        <v>4960</v>
      </c>
      <c r="C463">
        <v>2</v>
      </c>
      <c r="D463">
        <v>1</v>
      </c>
      <c r="E463">
        <v>1</v>
      </c>
      <c r="F463" t="s">
        <v>13</v>
      </c>
      <c r="G463" t="s">
        <v>14</v>
      </c>
      <c r="H463" t="s">
        <v>13</v>
      </c>
      <c r="I463" t="s">
        <v>14</v>
      </c>
      <c r="J463" t="s">
        <v>13</v>
      </c>
      <c r="K463">
        <v>0</v>
      </c>
      <c r="L463" t="s">
        <v>14</v>
      </c>
      <c r="M463" t="s">
        <v>17</v>
      </c>
    </row>
    <row r="464" spans="1:13">
      <c r="A464">
        <v>3080000</v>
      </c>
      <c r="B464">
        <v>2160</v>
      </c>
      <c r="C464">
        <v>3</v>
      </c>
      <c r="D464">
        <v>1</v>
      </c>
      <c r="E464">
        <v>2</v>
      </c>
      <c r="F464" t="s">
        <v>14</v>
      </c>
      <c r="G464" t="s">
        <v>14</v>
      </c>
      <c r="H464" t="s">
        <v>13</v>
      </c>
      <c r="I464" t="s">
        <v>14</v>
      </c>
      <c r="J464" t="s">
        <v>14</v>
      </c>
      <c r="K464">
        <v>0</v>
      </c>
      <c r="L464" t="s">
        <v>14</v>
      </c>
      <c r="M464" t="s">
        <v>16</v>
      </c>
    </row>
    <row r="465" spans="1:13">
      <c r="A465">
        <v>3080000</v>
      </c>
      <c r="B465">
        <v>3090</v>
      </c>
      <c r="C465">
        <v>2</v>
      </c>
      <c r="D465">
        <v>1</v>
      </c>
      <c r="E465">
        <v>1</v>
      </c>
      <c r="F465" t="s">
        <v>13</v>
      </c>
      <c r="G465" t="s">
        <v>13</v>
      </c>
      <c r="H465" t="s">
        <v>13</v>
      </c>
      <c r="I465" t="s">
        <v>14</v>
      </c>
      <c r="J465" t="s">
        <v>14</v>
      </c>
      <c r="K465">
        <v>0</v>
      </c>
      <c r="L465" t="s">
        <v>14</v>
      </c>
      <c r="M465" t="s">
        <v>17</v>
      </c>
    </row>
    <row r="466" spans="1:13">
      <c r="A466">
        <v>3080000</v>
      </c>
      <c r="B466">
        <v>4500</v>
      </c>
      <c r="C466">
        <v>2</v>
      </c>
      <c r="D466">
        <v>1</v>
      </c>
      <c r="E466">
        <v>2</v>
      </c>
      <c r="F466" t="s">
        <v>13</v>
      </c>
      <c r="G466" t="s">
        <v>14</v>
      </c>
      <c r="H466" t="s">
        <v>14</v>
      </c>
      <c r="I466" t="s">
        <v>13</v>
      </c>
      <c r="J466" t="s">
        <v>14</v>
      </c>
      <c r="K466">
        <v>1</v>
      </c>
      <c r="L466" t="s">
        <v>14</v>
      </c>
      <c r="M466" t="s">
        <v>16</v>
      </c>
    </row>
    <row r="467" spans="1:13">
      <c r="A467">
        <v>3045000</v>
      </c>
      <c r="B467">
        <v>3800</v>
      </c>
      <c r="C467">
        <v>2</v>
      </c>
      <c r="D467">
        <v>1</v>
      </c>
      <c r="E467">
        <v>1</v>
      </c>
      <c r="F467" t="s">
        <v>13</v>
      </c>
      <c r="G467" t="s">
        <v>14</v>
      </c>
      <c r="H467" t="s">
        <v>14</v>
      </c>
      <c r="I467" t="s">
        <v>14</v>
      </c>
      <c r="J467" t="s">
        <v>14</v>
      </c>
      <c r="K467">
        <v>0</v>
      </c>
      <c r="L467" t="s">
        <v>14</v>
      </c>
      <c r="M467" t="s">
        <v>17</v>
      </c>
    </row>
    <row r="468" spans="1:13">
      <c r="A468">
        <v>3010000</v>
      </c>
      <c r="B468">
        <v>3090</v>
      </c>
      <c r="C468">
        <v>3</v>
      </c>
      <c r="D468">
        <v>1</v>
      </c>
      <c r="E468">
        <v>2</v>
      </c>
      <c r="F468" t="s">
        <v>14</v>
      </c>
      <c r="G468" t="s">
        <v>14</v>
      </c>
      <c r="H468" t="s">
        <v>14</v>
      </c>
      <c r="I468" t="s">
        <v>14</v>
      </c>
      <c r="J468" t="s">
        <v>14</v>
      </c>
      <c r="K468">
        <v>0</v>
      </c>
      <c r="L468" t="s">
        <v>14</v>
      </c>
      <c r="M468" t="s">
        <v>16</v>
      </c>
    </row>
    <row r="469" spans="1:13">
      <c r="A469">
        <v>3010000</v>
      </c>
      <c r="B469">
        <v>3240</v>
      </c>
      <c r="C469">
        <v>3</v>
      </c>
      <c r="D469">
        <v>1</v>
      </c>
      <c r="E469">
        <v>2</v>
      </c>
      <c r="F469" t="s">
        <v>13</v>
      </c>
      <c r="G469" t="s">
        <v>14</v>
      </c>
      <c r="H469" t="s">
        <v>14</v>
      </c>
      <c r="I469" t="s">
        <v>14</v>
      </c>
      <c r="J469" t="s">
        <v>14</v>
      </c>
      <c r="K469">
        <v>2</v>
      </c>
      <c r="L469" t="s">
        <v>14</v>
      </c>
      <c r="M469" t="s">
        <v>16</v>
      </c>
    </row>
    <row r="470" spans="1:13">
      <c r="A470">
        <v>3010000</v>
      </c>
      <c r="B470">
        <v>2835</v>
      </c>
      <c r="C470">
        <v>2</v>
      </c>
      <c r="D470">
        <v>1</v>
      </c>
      <c r="E470">
        <v>1</v>
      </c>
      <c r="F470" t="s">
        <v>13</v>
      </c>
      <c r="G470" t="s">
        <v>14</v>
      </c>
      <c r="H470" t="s">
        <v>14</v>
      </c>
      <c r="I470" t="s">
        <v>14</v>
      </c>
      <c r="J470" t="s">
        <v>14</v>
      </c>
      <c r="K470">
        <v>0</v>
      </c>
      <c r="L470" t="s">
        <v>14</v>
      </c>
      <c r="M470" t="s">
        <v>16</v>
      </c>
    </row>
    <row r="471" spans="1:13">
      <c r="A471">
        <v>3010000</v>
      </c>
      <c r="B471">
        <v>4600</v>
      </c>
      <c r="C471">
        <v>2</v>
      </c>
      <c r="D471">
        <v>1</v>
      </c>
      <c r="E471">
        <v>1</v>
      </c>
      <c r="F471" t="s">
        <v>13</v>
      </c>
      <c r="G471" t="s">
        <v>14</v>
      </c>
      <c r="H471" t="s">
        <v>14</v>
      </c>
      <c r="I471" t="s">
        <v>14</v>
      </c>
      <c r="J471" t="s">
        <v>14</v>
      </c>
      <c r="K471">
        <v>0</v>
      </c>
      <c r="L471" t="s">
        <v>14</v>
      </c>
      <c r="M471" t="s">
        <v>15</v>
      </c>
    </row>
    <row r="472" spans="1:13">
      <c r="A472">
        <v>3010000</v>
      </c>
      <c r="B472">
        <v>5076</v>
      </c>
      <c r="C472">
        <v>3</v>
      </c>
      <c r="D472">
        <v>1</v>
      </c>
      <c r="E472">
        <v>1</v>
      </c>
      <c r="F472" t="s">
        <v>14</v>
      </c>
      <c r="G472" t="s">
        <v>14</v>
      </c>
      <c r="H472" t="s">
        <v>14</v>
      </c>
      <c r="I472" t="s">
        <v>14</v>
      </c>
      <c r="J472" t="s">
        <v>14</v>
      </c>
      <c r="K472">
        <v>0</v>
      </c>
      <c r="L472" t="s">
        <v>14</v>
      </c>
      <c r="M472" t="s">
        <v>17</v>
      </c>
    </row>
    <row r="473" spans="1:13">
      <c r="A473">
        <v>3010000</v>
      </c>
      <c r="B473">
        <v>3750</v>
      </c>
      <c r="C473">
        <v>3</v>
      </c>
      <c r="D473">
        <v>1</v>
      </c>
      <c r="E473">
        <v>2</v>
      </c>
      <c r="F473" t="s">
        <v>13</v>
      </c>
      <c r="G473" t="s">
        <v>14</v>
      </c>
      <c r="H473" t="s">
        <v>14</v>
      </c>
      <c r="I473" t="s">
        <v>14</v>
      </c>
      <c r="J473" t="s">
        <v>14</v>
      </c>
      <c r="K473">
        <v>0</v>
      </c>
      <c r="L473" t="s">
        <v>14</v>
      </c>
      <c r="M473" t="s">
        <v>17</v>
      </c>
    </row>
    <row r="474" spans="1:13">
      <c r="A474">
        <v>3010000</v>
      </c>
      <c r="B474">
        <v>3630</v>
      </c>
      <c r="C474">
        <v>4</v>
      </c>
      <c r="D474">
        <v>1</v>
      </c>
      <c r="E474">
        <v>2</v>
      </c>
      <c r="F474" t="s">
        <v>13</v>
      </c>
      <c r="G474" t="s">
        <v>14</v>
      </c>
      <c r="H474" t="s">
        <v>14</v>
      </c>
      <c r="I474" t="s">
        <v>14</v>
      </c>
      <c r="J474" t="s">
        <v>14</v>
      </c>
      <c r="K474">
        <v>3</v>
      </c>
      <c r="L474" t="s">
        <v>14</v>
      </c>
      <c r="M474" t="s">
        <v>16</v>
      </c>
    </row>
    <row r="475" spans="1:13">
      <c r="A475">
        <v>3003000</v>
      </c>
      <c r="B475">
        <v>8050</v>
      </c>
      <c r="C475">
        <v>2</v>
      </c>
      <c r="D475">
        <v>1</v>
      </c>
      <c r="E475">
        <v>1</v>
      </c>
      <c r="F475" t="s">
        <v>13</v>
      </c>
      <c r="G475" t="s">
        <v>14</v>
      </c>
      <c r="H475" t="s">
        <v>14</v>
      </c>
      <c r="I475" t="s">
        <v>14</v>
      </c>
      <c r="J475" t="s">
        <v>14</v>
      </c>
      <c r="K475">
        <v>0</v>
      </c>
      <c r="L475" t="s">
        <v>14</v>
      </c>
      <c r="M475" t="s">
        <v>17</v>
      </c>
    </row>
    <row r="476" spans="1:13">
      <c r="A476">
        <v>2975000</v>
      </c>
      <c r="B476">
        <v>4352</v>
      </c>
      <c r="C476">
        <v>4</v>
      </c>
      <c r="D476">
        <v>1</v>
      </c>
      <c r="E476">
        <v>2</v>
      </c>
      <c r="F476" t="s">
        <v>14</v>
      </c>
      <c r="G476" t="s">
        <v>14</v>
      </c>
      <c r="H476" t="s">
        <v>14</v>
      </c>
      <c r="I476" t="s">
        <v>14</v>
      </c>
      <c r="J476" t="s">
        <v>14</v>
      </c>
      <c r="K476">
        <v>1</v>
      </c>
      <c r="L476" t="s">
        <v>14</v>
      </c>
      <c r="M476" t="s">
        <v>17</v>
      </c>
    </row>
    <row r="477" spans="1:13">
      <c r="A477">
        <v>2961000</v>
      </c>
      <c r="B477">
        <v>3000</v>
      </c>
      <c r="C477">
        <v>2</v>
      </c>
      <c r="D477">
        <v>1</v>
      </c>
      <c r="E477">
        <v>2</v>
      </c>
      <c r="F477" t="s">
        <v>13</v>
      </c>
      <c r="G477" t="s">
        <v>14</v>
      </c>
      <c r="H477" t="s">
        <v>14</v>
      </c>
      <c r="I477" t="s">
        <v>14</v>
      </c>
      <c r="J477" t="s">
        <v>14</v>
      </c>
      <c r="K477">
        <v>0</v>
      </c>
      <c r="L477" t="s">
        <v>14</v>
      </c>
      <c r="M477" t="s">
        <v>16</v>
      </c>
    </row>
    <row r="478" spans="1:13">
      <c r="A478">
        <v>2940000</v>
      </c>
      <c r="B478">
        <v>5850</v>
      </c>
      <c r="C478">
        <v>3</v>
      </c>
      <c r="D478">
        <v>1</v>
      </c>
      <c r="E478">
        <v>2</v>
      </c>
      <c r="F478" t="s">
        <v>13</v>
      </c>
      <c r="G478" t="s">
        <v>14</v>
      </c>
      <c r="H478" t="s">
        <v>13</v>
      </c>
      <c r="I478" t="s">
        <v>14</v>
      </c>
      <c r="J478" t="s">
        <v>14</v>
      </c>
      <c r="K478">
        <v>1</v>
      </c>
      <c r="L478" t="s">
        <v>14</v>
      </c>
      <c r="M478" t="s">
        <v>17</v>
      </c>
    </row>
    <row r="479" spans="1:13">
      <c r="A479">
        <v>2940000</v>
      </c>
      <c r="B479">
        <v>4960</v>
      </c>
      <c r="C479">
        <v>2</v>
      </c>
      <c r="D479">
        <v>1</v>
      </c>
      <c r="E479">
        <v>1</v>
      </c>
      <c r="F479" t="s">
        <v>13</v>
      </c>
      <c r="G479" t="s">
        <v>14</v>
      </c>
      <c r="H479" t="s">
        <v>14</v>
      </c>
      <c r="I479" t="s">
        <v>14</v>
      </c>
      <c r="J479" t="s">
        <v>14</v>
      </c>
      <c r="K479">
        <v>0</v>
      </c>
      <c r="L479" t="s">
        <v>14</v>
      </c>
      <c r="M479" t="s">
        <v>17</v>
      </c>
    </row>
    <row r="480" spans="1:13">
      <c r="A480">
        <v>2940000</v>
      </c>
      <c r="B480">
        <v>3600</v>
      </c>
      <c r="C480">
        <v>3</v>
      </c>
      <c r="D480">
        <v>1</v>
      </c>
      <c r="E480">
        <v>2</v>
      </c>
      <c r="F480" t="s">
        <v>14</v>
      </c>
      <c r="G480" t="s">
        <v>14</v>
      </c>
      <c r="H480" t="s">
        <v>14</v>
      </c>
      <c r="I480" t="s">
        <v>14</v>
      </c>
      <c r="J480" t="s">
        <v>14</v>
      </c>
      <c r="K480">
        <v>1</v>
      </c>
      <c r="L480" t="s">
        <v>14</v>
      </c>
      <c r="M480" t="s">
        <v>17</v>
      </c>
    </row>
    <row r="481" spans="1:13">
      <c r="A481">
        <v>2940000</v>
      </c>
      <c r="B481">
        <v>3660</v>
      </c>
      <c r="C481">
        <v>4</v>
      </c>
      <c r="D481">
        <v>1</v>
      </c>
      <c r="E481">
        <v>2</v>
      </c>
      <c r="F481" t="s">
        <v>14</v>
      </c>
      <c r="G481" t="s">
        <v>14</v>
      </c>
      <c r="H481" t="s">
        <v>14</v>
      </c>
      <c r="I481" t="s">
        <v>14</v>
      </c>
      <c r="J481" t="s">
        <v>14</v>
      </c>
      <c r="K481">
        <v>0</v>
      </c>
      <c r="L481" t="s">
        <v>14</v>
      </c>
      <c r="M481" t="s">
        <v>17</v>
      </c>
    </row>
    <row r="482" spans="1:13">
      <c r="A482">
        <v>2940000</v>
      </c>
      <c r="B482">
        <v>3480</v>
      </c>
      <c r="C482">
        <v>3</v>
      </c>
      <c r="D482">
        <v>1</v>
      </c>
      <c r="E482">
        <v>2</v>
      </c>
      <c r="F482" t="s">
        <v>14</v>
      </c>
      <c r="G482" t="s">
        <v>14</v>
      </c>
      <c r="H482" t="s">
        <v>14</v>
      </c>
      <c r="I482" t="s">
        <v>14</v>
      </c>
      <c r="J482" t="s">
        <v>14</v>
      </c>
      <c r="K482">
        <v>1</v>
      </c>
      <c r="L482" t="s">
        <v>14</v>
      </c>
      <c r="M482" t="s">
        <v>16</v>
      </c>
    </row>
    <row r="483" spans="1:13">
      <c r="A483">
        <v>2940000</v>
      </c>
      <c r="B483">
        <v>2700</v>
      </c>
      <c r="C483">
        <v>2</v>
      </c>
      <c r="D483">
        <v>1</v>
      </c>
      <c r="E483">
        <v>1</v>
      </c>
      <c r="F483" t="s">
        <v>14</v>
      </c>
      <c r="G483" t="s">
        <v>14</v>
      </c>
      <c r="H483" t="s">
        <v>14</v>
      </c>
      <c r="I483" t="s">
        <v>14</v>
      </c>
      <c r="J483" t="s">
        <v>14</v>
      </c>
      <c r="K483">
        <v>0</v>
      </c>
      <c r="L483" t="s">
        <v>14</v>
      </c>
      <c r="M483" t="s">
        <v>15</v>
      </c>
    </row>
    <row r="484" spans="1:13">
      <c r="A484">
        <v>2940000</v>
      </c>
      <c r="B484">
        <v>3150</v>
      </c>
      <c r="C484">
        <v>3</v>
      </c>
      <c r="D484">
        <v>1</v>
      </c>
      <c r="E484">
        <v>2</v>
      </c>
      <c r="F484" t="s">
        <v>14</v>
      </c>
      <c r="G484" t="s">
        <v>14</v>
      </c>
      <c r="H484" t="s">
        <v>14</v>
      </c>
      <c r="I484" t="s">
        <v>14</v>
      </c>
      <c r="J484" t="s">
        <v>14</v>
      </c>
      <c r="K484">
        <v>0</v>
      </c>
      <c r="L484" t="s">
        <v>14</v>
      </c>
      <c r="M484" t="s">
        <v>17</v>
      </c>
    </row>
    <row r="485" spans="1:13">
      <c r="A485">
        <v>2940000</v>
      </c>
      <c r="B485">
        <v>6615</v>
      </c>
      <c r="C485">
        <v>3</v>
      </c>
      <c r="D485">
        <v>1</v>
      </c>
      <c r="E485">
        <v>2</v>
      </c>
      <c r="F485" t="s">
        <v>13</v>
      </c>
      <c r="G485" t="s">
        <v>14</v>
      </c>
      <c r="H485" t="s">
        <v>14</v>
      </c>
      <c r="I485" t="s">
        <v>14</v>
      </c>
      <c r="J485" t="s">
        <v>14</v>
      </c>
      <c r="K485">
        <v>0</v>
      </c>
      <c r="L485" t="s">
        <v>14</v>
      </c>
      <c r="M485" t="s">
        <v>16</v>
      </c>
    </row>
    <row r="486" spans="1:13">
      <c r="A486">
        <v>2870000</v>
      </c>
      <c r="B486">
        <v>3040</v>
      </c>
      <c r="C486">
        <v>2</v>
      </c>
      <c r="D486">
        <v>1</v>
      </c>
      <c r="E486">
        <v>1</v>
      </c>
      <c r="F486" t="s">
        <v>14</v>
      </c>
      <c r="G486" t="s">
        <v>14</v>
      </c>
      <c r="H486" t="s">
        <v>14</v>
      </c>
      <c r="I486" t="s">
        <v>14</v>
      </c>
      <c r="J486" t="s">
        <v>14</v>
      </c>
      <c r="K486">
        <v>0</v>
      </c>
      <c r="L486" t="s">
        <v>14</v>
      </c>
      <c r="M486" t="s">
        <v>17</v>
      </c>
    </row>
    <row r="487" spans="1:13">
      <c r="A487">
        <v>2870000</v>
      </c>
      <c r="B487">
        <v>3630</v>
      </c>
      <c r="C487">
        <v>2</v>
      </c>
      <c r="D487">
        <v>1</v>
      </c>
      <c r="E487">
        <v>1</v>
      </c>
      <c r="F487" t="s">
        <v>13</v>
      </c>
      <c r="G487" t="s">
        <v>14</v>
      </c>
      <c r="H487" t="s">
        <v>14</v>
      </c>
      <c r="I487" t="s">
        <v>14</v>
      </c>
      <c r="J487" t="s">
        <v>14</v>
      </c>
      <c r="K487">
        <v>0</v>
      </c>
      <c r="L487" t="s">
        <v>14</v>
      </c>
      <c r="M487" t="s">
        <v>17</v>
      </c>
    </row>
    <row r="488" spans="1:13">
      <c r="A488">
        <v>2870000</v>
      </c>
      <c r="B488">
        <v>6000</v>
      </c>
      <c r="C488">
        <v>2</v>
      </c>
      <c r="D488">
        <v>1</v>
      </c>
      <c r="E488">
        <v>1</v>
      </c>
      <c r="F488" t="s">
        <v>13</v>
      </c>
      <c r="G488" t="s">
        <v>14</v>
      </c>
      <c r="H488" t="s">
        <v>14</v>
      </c>
      <c r="I488" t="s">
        <v>14</v>
      </c>
      <c r="J488" t="s">
        <v>14</v>
      </c>
      <c r="K488">
        <v>0</v>
      </c>
      <c r="L488" t="s">
        <v>14</v>
      </c>
      <c r="M488" t="s">
        <v>16</v>
      </c>
    </row>
    <row r="489" spans="1:13">
      <c r="A489">
        <v>2870000</v>
      </c>
      <c r="B489">
        <v>5400</v>
      </c>
      <c r="C489">
        <v>4</v>
      </c>
      <c r="D489">
        <v>1</v>
      </c>
      <c r="E489">
        <v>2</v>
      </c>
      <c r="F489" t="s">
        <v>13</v>
      </c>
      <c r="G489" t="s">
        <v>14</v>
      </c>
      <c r="H489" t="s">
        <v>14</v>
      </c>
      <c r="I489" t="s">
        <v>14</v>
      </c>
      <c r="J489" t="s">
        <v>14</v>
      </c>
      <c r="K489">
        <v>0</v>
      </c>
      <c r="L489" t="s">
        <v>14</v>
      </c>
      <c r="M489" t="s">
        <v>17</v>
      </c>
    </row>
    <row r="490" spans="1:13">
      <c r="A490">
        <v>2852500</v>
      </c>
      <c r="B490">
        <v>5200</v>
      </c>
      <c r="C490">
        <v>4</v>
      </c>
      <c r="D490">
        <v>1</v>
      </c>
      <c r="E490">
        <v>3</v>
      </c>
      <c r="F490" t="s">
        <v>13</v>
      </c>
      <c r="G490" t="s">
        <v>14</v>
      </c>
      <c r="H490" t="s">
        <v>14</v>
      </c>
      <c r="I490" t="s">
        <v>14</v>
      </c>
      <c r="J490" t="s">
        <v>14</v>
      </c>
      <c r="K490">
        <v>0</v>
      </c>
      <c r="L490" t="s">
        <v>14</v>
      </c>
      <c r="M490" t="s">
        <v>17</v>
      </c>
    </row>
    <row r="491" spans="1:13">
      <c r="A491">
        <v>2835000</v>
      </c>
      <c r="B491">
        <v>3300</v>
      </c>
      <c r="C491">
        <v>3</v>
      </c>
      <c r="D491">
        <v>1</v>
      </c>
      <c r="E491">
        <v>2</v>
      </c>
      <c r="F491" t="s">
        <v>14</v>
      </c>
      <c r="G491" t="s">
        <v>14</v>
      </c>
      <c r="H491" t="s">
        <v>14</v>
      </c>
      <c r="I491" t="s">
        <v>14</v>
      </c>
      <c r="J491" t="s">
        <v>14</v>
      </c>
      <c r="K491">
        <v>1</v>
      </c>
      <c r="L491" t="s">
        <v>14</v>
      </c>
      <c r="M491" t="s">
        <v>16</v>
      </c>
    </row>
    <row r="492" spans="1:13">
      <c r="A492">
        <v>2835000</v>
      </c>
      <c r="B492">
        <v>4350</v>
      </c>
      <c r="C492">
        <v>3</v>
      </c>
      <c r="D492">
        <v>1</v>
      </c>
      <c r="E492">
        <v>2</v>
      </c>
      <c r="F492" t="s">
        <v>14</v>
      </c>
      <c r="G492" t="s">
        <v>14</v>
      </c>
      <c r="H492" t="s">
        <v>14</v>
      </c>
      <c r="I492" t="s">
        <v>13</v>
      </c>
      <c r="J492" t="s">
        <v>14</v>
      </c>
      <c r="K492">
        <v>1</v>
      </c>
      <c r="L492" t="s">
        <v>14</v>
      </c>
      <c r="M492" t="s">
        <v>17</v>
      </c>
    </row>
    <row r="493" spans="1:13">
      <c r="A493">
        <v>2835000</v>
      </c>
      <c r="B493">
        <v>2640</v>
      </c>
      <c r="C493">
        <v>2</v>
      </c>
      <c r="D493">
        <v>1</v>
      </c>
      <c r="E493">
        <v>1</v>
      </c>
      <c r="F493" t="s">
        <v>14</v>
      </c>
      <c r="G493" t="s">
        <v>14</v>
      </c>
      <c r="H493" t="s">
        <v>14</v>
      </c>
      <c r="I493" t="s">
        <v>14</v>
      </c>
      <c r="J493" t="s">
        <v>14</v>
      </c>
      <c r="K493">
        <v>1</v>
      </c>
      <c r="L493" t="s">
        <v>14</v>
      </c>
      <c r="M493" t="s">
        <v>15</v>
      </c>
    </row>
    <row r="494" spans="1:13">
      <c r="A494">
        <v>2800000</v>
      </c>
      <c r="B494">
        <v>2650</v>
      </c>
      <c r="C494">
        <v>3</v>
      </c>
      <c r="D494">
        <v>1</v>
      </c>
      <c r="E494">
        <v>2</v>
      </c>
      <c r="F494" t="s">
        <v>13</v>
      </c>
      <c r="G494" t="s">
        <v>14</v>
      </c>
      <c r="H494" t="s">
        <v>13</v>
      </c>
      <c r="I494" t="s">
        <v>14</v>
      </c>
      <c r="J494" t="s">
        <v>14</v>
      </c>
      <c r="K494">
        <v>1</v>
      </c>
      <c r="L494" t="s">
        <v>14</v>
      </c>
      <c r="M494" t="s">
        <v>17</v>
      </c>
    </row>
    <row r="495" spans="1:13">
      <c r="A495">
        <v>2800000</v>
      </c>
      <c r="B495">
        <v>3960</v>
      </c>
      <c r="C495">
        <v>3</v>
      </c>
      <c r="D495">
        <v>1</v>
      </c>
      <c r="E495">
        <v>1</v>
      </c>
      <c r="F495" t="s">
        <v>13</v>
      </c>
      <c r="G495" t="s">
        <v>14</v>
      </c>
      <c r="H495" t="s">
        <v>14</v>
      </c>
      <c r="I495" t="s">
        <v>14</v>
      </c>
      <c r="J495" t="s">
        <v>14</v>
      </c>
      <c r="K495">
        <v>0</v>
      </c>
      <c r="L495" t="s">
        <v>14</v>
      </c>
      <c r="M495" t="s">
        <v>15</v>
      </c>
    </row>
    <row r="496" spans="1:13">
      <c r="A496">
        <v>2730000</v>
      </c>
      <c r="B496">
        <v>6800</v>
      </c>
      <c r="C496">
        <v>2</v>
      </c>
      <c r="D496">
        <v>1</v>
      </c>
      <c r="E496">
        <v>1</v>
      </c>
      <c r="F496" t="s">
        <v>13</v>
      </c>
      <c r="G496" t="s">
        <v>14</v>
      </c>
      <c r="H496" t="s">
        <v>14</v>
      </c>
      <c r="I496" t="s">
        <v>14</v>
      </c>
      <c r="J496" t="s">
        <v>14</v>
      </c>
      <c r="K496">
        <v>0</v>
      </c>
      <c r="L496" t="s">
        <v>14</v>
      </c>
      <c r="M496" t="s">
        <v>17</v>
      </c>
    </row>
    <row r="497" spans="1:13">
      <c r="A497">
        <v>2730000</v>
      </c>
      <c r="B497">
        <v>4000</v>
      </c>
      <c r="C497">
        <v>3</v>
      </c>
      <c r="D497">
        <v>1</v>
      </c>
      <c r="E497">
        <v>2</v>
      </c>
      <c r="F497" t="s">
        <v>13</v>
      </c>
      <c r="G497" t="s">
        <v>14</v>
      </c>
      <c r="H497" t="s">
        <v>14</v>
      </c>
      <c r="I497" t="s">
        <v>14</v>
      </c>
      <c r="J497" t="s">
        <v>14</v>
      </c>
      <c r="K497">
        <v>1</v>
      </c>
      <c r="L497" t="s">
        <v>14</v>
      </c>
      <c r="M497" t="s">
        <v>17</v>
      </c>
    </row>
    <row r="498" spans="1:13">
      <c r="A498">
        <v>2695000</v>
      </c>
      <c r="B498">
        <v>4000</v>
      </c>
      <c r="C498">
        <v>2</v>
      </c>
      <c r="D498">
        <v>1</v>
      </c>
      <c r="E498">
        <v>1</v>
      </c>
      <c r="F498" t="s">
        <v>13</v>
      </c>
      <c r="G498" t="s">
        <v>14</v>
      </c>
      <c r="H498" t="s">
        <v>14</v>
      </c>
      <c r="I498" t="s">
        <v>14</v>
      </c>
      <c r="J498" t="s">
        <v>14</v>
      </c>
      <c r="K498">
        <v>0</v>
      </c>
      <c r="L498" t="s">
        <v>14</v>
      </c>
      <c r="M498" t="s">
        <v>17</v>
      </c>
    </row>
    <row r="499" spans="1:13">
      <c r="A499">
        <v>2660000</v>
      </c>
      <c r="B499">
        <v>3934</v>
      </c>
      <c r="C499">
        <v>2</v>
      </c>
      <c r="D499">
        <v>1</v>
      </c>
      <c r="E499">
        <v>1</v>
      </c>
      <c r="F499" t="s">
        <v>13</v>
      </c>
      <c r="G499" t="s">
        <v>14</v>
      </c>
      <c r="H499" t="s">
        <v>14</v>
      </c>
      <c r="I499" t="s">
        <v>14</v>
      </c>
      <c r="J499" t="s">
        <v>14</v>
      </c>
      <c r="K499">
        <v>0</v>
      </c>
      <c r="L499" t="s">
        <v>14</v>
      </c>
      <c r="M499" t="s">
        <v>17</v>
      </c>
    </row>
    <row r="500" spans="1:13">
      <c r="A500">
        <v>2660000</v>
      </c>
      <c r="B500">
        <v>2000</v>
      </c>
      <c r="C500">
        <v>2</v>
      </c>
      <c r="D500">
        <v>1</v>
      </c>
      <c r="E500">
        <v>2</v>
      </c>
      <c r="F500" t="s">
        <v>13</v>
      </c>
      <c r="G500" t="s">
        <v>14</v>
      </c>
      <c r="H500" t="s">
        <v>14</v>
      </c>
      <c r="I500" t="s">
        <v>14</v>
      </c>
      <c r="J500" t="s">
        <v>14</v>
      </c>
      <c r="K500">
        <v>0</v>
      </c>
      <c r="L500" t="s">
        <v>14</v>
      </c>
      <c r="M500" t="s">
        <v>16</v>
      </c>
    </row>
    <row r="501" spans="1:13">
      <c r="A501">
        <v>2660000</v>
      </c>
      <c r="B501">
        <v>3630</v>
      </c>
      <c r="C501">
        <v>3</v>
      </c>
      <c r="D501">
        <v>3</v>
      </c>
      <c r="E501">
        <v>2</v>
      </c>
      <c r="F501" t="s">
        <v>14</v>
      </c>
      <c r="G501" t="s">
        <v>13</v>
      </c>
      <c r="H501" t="s">
        <v>14</v>
      </c>
      <c r="I501" t="s">
        <v>14</v>
      </c>
      <c r="J501" t="s">
        <v>14</v>
      </c>
      <c r="K501">
        <v>0</v>
      </c>
      <c r="L501" t="s">
        <v>14</v>
      </c>
      <c r="M501" t="s">
        <v>17</v>
      </c>
    </row>
    <row r="502" spans="1:13">
      <c r="A502">
        <v>2660000</v>
      </c>
      <c r="B502">
        <v>2800</v>
      </c>
      <c r="C502">
        <v>3</v>
      </c>
      <c r="D502">
        <v>1</v>
      </c>
      <c r="E502">
        <v>1</v>
      </c>
      <c r="F502" t="s">
        <v>13</v>
      </c>
      <c r="G502" t="s">
        <v>14</v>
      </c>
      <c r="H502" t="s">
        <v>14</v>
      </c>
      <c r="I502" t="s">
        <v>14</v>
      </c>
      <c r="J502" t="s">
        <v>14</v>
      </c>
      <c r="K502">
        <v>0</v>
      </c>
      <c r="L502" t="s">
        <v>14</v>
      </c>
      <c r="M502" t="s">
        <v>17</v>
      </c>
    </row>
    <row r="503" spans="1:13">
      <c r="A503">
        <v>2660000</v>
      </c>
      <c r="B503">
        <v>2430</v>
      </c>
      <c r="C503">
        <v>3</v>
      </c>
      <c r="D503">
        <v>1</v>
      </c>
      <c r="E503">
        <v>1</v>
      </c>
      <c r="F503" t="s">
        <v>14</v>
      </c>
      <c r="G503" t="s">
        <v>14</v>
      </c>
      <c r="H503" t="s">
        <v>14</v>
      </c>
      <c r="I503" t="s">
        <v>14</v>
      </c>
      <c r="J503" t="s">
        <v>14</v>
      </c>
      <c r="K503">
        <v>0</v>
      </c>
      <c r="L503" t="s">
        <v>14</v>
      </c>
      <c r="M503" t="s">
        <v>17</v>
      </c>
    </row>
    <row r="504" spans="1:13">
      <c r="A504">
        <v>2660000</v>
      </c>
      <c r="B504">
        <v>3480</v>
      </c>
      <c r="C504">
        <v>2</v>
      </c>
      <c r="D504">
        <v>1</v>
      </c>
      <c r="E504">
        <v>1</v>
      </c>
      <c r="F504" t="s">
        <v>13</v>
      </c>
      <c r="G504" t="s">
        <v>14</v>
      </c>
      <c r="H504" t="s">
        <v>14</v>
      </c>
      <c r="I504" t="s">
        <v>14</v>
      </c>
      <c r="J504" t="s">
        <v>14</v>
      </c>
      <c r="K504">
        <v>1</v>
      </c>
      <c r="L504" t="s">
        <v>14</v>
      </c>
      <c r="M504" t="s">
        <v>16</v>
      </c>
    </row>
    <row r="505" spans="1:13">
      <c r="A505">
        <v>2660000</v>
      </c>
      <c r="B505">
        <v>4000</v>
      </c>
      <c r="C505">
        <v>3</v>
      </c>
      <c r="D505">
        <v>1</v>
      </c>
      <c r="E505">
        <v>1</v>
      </c>
      <c r="F505" t="s">
        <v>13</v>
      </c>
      <c r="G505" t="s">
        <v>14</v>
      </c>
      <c r="H505" t="s">
        <v>14</v>
      </c>
      <c r="I505" t="s">
        <v>14</v>
      </c>
      <c r="J505" t="s">
        <v>14</v>
      </c>
      <c r="K505">
        <v>0</v>
      </c>
      <c r="L505" t="s">
        <v>14</v>
      </c>
      <c r="M505" t="s">
        <v>16</v>
      </c>
    </row>
    <row r="506" spans="1:13">
      <c r="A506">
        <v>2653000</v>
      </c>
      <c r="B506">
        <v>3185</v>
      </c>
      <c r="C506">
        <v>2</v>
      </c>
      <c r="D506">
        <v>1</v>
      </c>
      <c r="E506">
        <v>1</v>
      </c>
      <c r="F506" t="s">
        <v>13</v>
      </c>
      <c r="G506" t="s">
        <v>14</v>
      </c>
      <c r="H506" t="s">
        <v>14</v>
      </c>
      <c r="I506" t="s">
        <v>14</v>
      </c>
      <c r="J506" t="s">
        <v>13</v>
      </c>
      <c r="K506">
        <v>0</v>
      </c>
      <c r="L506" t="s">
        <v>14</v>
      </c>
      <c r="M506" t="s">
        <v>17</v>
      </c>
    </row>
    <row r="507" spans="1:13">
      <c r="A507">
        <v>2653000</v>
      </c>
      <c r="B507">
        <v>4000</v>
      </c>
      <c r="C507">
        <v>3</v>
      </c>
      <c r="D507">
        <v>1</v>
      </c>
      <c r="E507">
        <v>2</v>
      </c>
      <c r="F507" t="s">
        <v>13</v>
      </c>
      <c r="G507" t="s">
        <v>14</v>
      </c>
      <c r="H507" t="s">
        <v>14</v>
      </c>
      <c r="I507" t="s">
        <v>14</v>
      </c>
      <c r="J507" t="s">
        <v>13</v>
      </c>
      <c r="K507">
        <v>0</v>
      </c>
      <c r="L507" t="s">
        <v>14</v>
      </c>
      <c r="M507" t="s">
        <v>17</v>
      </c>
    </row>
    <row r="508" spans="1:13">
      <c r="A508">
        <v>2604000</v>
      </c>
      <c r="B508">
        <v>2910</v>
      </c>
      <c r="C508">
        <v>2</v>
      </c>
      <c r="D508">
        <v>1</v>
      </c>
      <c r="E508">
        <v>1</v>
      </c>
      <c r="F508" t="s">
        <v>14</v>
      </c>
      <c r="G508" t="s">
        <v>14</v>
      </c>
      <c r="H508" t="s">
        <v>14</v>
      </c>
      <c r="I508" t="s">
        <v>14</v>
      </c>
      <c r="J508" t="s">
        <v>14</v>
      </c>
      <c r="K508">
        <v>0</v>
      </c>
      <c r="L508" t="s">
        <v>14</v>
      </c>
      <c r="M508" t="s">
        <v>17</v>
      </c>
    </row>
    <row r="509" spans="1:13">
      <c r="A509">
        <v>2590000</v>
      </c>
      <c r="B509">
        <v>3600</v>
      </c>
      <c r="C509">
        <v>2</v>
      </c>
      <c r="D509">
        <v>1</v>
      </c>
      <c r="E509">
        <v>1</v>
      </c>
      <c r="F509" t="s">
        <v>13</v>
      </c>
      <c r="G509" t="s">
        <v>14</v>
      </c>
      <c r="H509" t="s">
        <v>14</v>
      </c>
      <c r="I509" t="s">
        <v>14</v>
      </c>
      <c r="J509" t="s">
        <v>14</v>
      </c>
      <c r="K509">
        <v>0</v>
      </c>
      <c r="L509" t="s">
        <v>14</v>
      </c>
      <c r="M509" t="s">
        <v>17</v>
      </c>
    </row>
    <row r="510" spans="1:13">
      <c r="A510">
        <v>2590000</v>
      </c>
      <c r="B510">
        <v>4400</v>
      </c>
      <c r="C510">
        <v>2</v>
      </c>
      <c r="D510">
        <v>1</v>
      </c>
      <c r="E510">
        <v>1</v>
      </c>
      <c r="F510" t="s">
        <v>13</v>
      </c>
      <c r="G510" t="s">
        <v>14</v>
      </c>
      <c r="H510" t="s">
        <v>14</v>
      </c>
      <c r="I510" t="s">
        <v>14</v>
      </c>
      <c r="J510" t="s">
        <v>14</v>
      </c>
      <c r="K510">
        <v>0</v>
      </c>
      <c r="L510" t="s">
        <v>14</v>
      </c>
      <c r="M510" t="s">
        <v>17</v>
      </c>
    </row>
    <row r="511" spans="1:13">
      <c r="A511">
        <v>2590000</v>
      </c>
      <c r="B511">
        <v>3600</v>
      </c>
      <c r="C511">
        <v>2</v>
      </c>
      <c r="D511">
        <v>2</v>
      </c>
      <c r="E511">
        <v>2</v>
      </c>
      <c r="F511" t="s">
        <v>13</v>
      </c>
      <c r="G511" t="s">
        <v>14</v>
      </c>
      <c r="H511" t="s">
        <v>13</v>
      </c>
      <c r="I511" t="s">
        <v>14</v>
      </c>
      <c r="J511" t="s">
        <v>14</v>
      </c>
      <c r="K511">
        <v>1</v>
      </c>
      <c r="L511" t="s">
        <v>14</v>
      </c>
      <c r="M511" t="s">
        <v>15</v>
      </c>
    </row>
    <row r="512" spans="1:13">
      <c r="A512">
        <v>2520000</v>
      </c>
      <c r="B512">
        <v>2880</v>
      </c>
      <c r="C512">
        <v>3</v>
      </c>
      <c r="D512">
        <v>1</v>
      </c>
      <c r="E512">
        <v>1</v>
      </c>
      <c r="F512" t="s">
        <v>14</v>
      </c>
      <c r="G512" t="s">
        <v>14</v>
      </c>
      <c r="H512" t="s">
        <v>14</v>
      </c>
      <c r="I512" t="s">
        <v>14</v>
      </c>
      <c r="J512" t="s">
        <v>14</v>
      </c>
      <c r="K512">
        <v>0</v>
      </c>
      <c r="L512" t="s">
        <v>14</v>
      </c>
      <c r="M512" t="s">
        <v>17</v>
      </c>
    </row>
    <row r="513" spans="1:13">
      <c r="A513">
        <v>2520000</v>
      </c>
      <c r="B513">
        <v>3180</v>
      </c>
      <c r="C513">
        <v>3</v>
      </c>
      <c r="D513">
        <v>1</v>
      </c>
      <c r="E513">
        <v>1</v>
      </c>
      <c r="F513" t="s">
        <v>14</v>
      </c>
      <c r="G513" t="s">
        <v>14</v>
      </c>
      <c r="H513" t="s">
        <v>14</v>
      </c>
      <c r="I513" t="s">
        <v>14</v>
      </c>
      <c r="J513" t="s">
        <v>14</v>
      </c>
      <c r="K513">
        <v>0</v>
      </c>
      <c r="L513" t="s">
        <v>14</v>
      </c>
      <c r="M513" t="s">
        <v>17</v>
      </c>
    </row>
    <row r="514" spans="1:13">
      <c r="A514">
        <v>2520000</v>
      </c>
      <c r="B514">
        <v>3000</v>
      </c>
      <c r="C514">
        <v>2</v>
      </c>
      <c r="D514">
        <v>1</v>
      </c>
      <c r="E514">
        <v>2</v>
      </c>
      <c r="F514" t="s">
        <v>13</v>
      </c>
      <c r="G514" t="s">
        <v>14</v>
      </c>
      <c r="H514" t="s">
        <v>14</v>
      </c>
      <c r="I514" t="s">
        <v>14</v>
      </c>
      <c r="J514" t="s">
        <v>14</v>
      </c>
      <c r="K514">
        <v>0</v>
      </c>
      <c r="L514" t="s">
        <v>14</v>
      </c>
      <c r="M514" t="s">
        <v>15</v>
      </c>
    </row>
    <row r="515" spans="1:13">
      <c r="A515">
        <v>2485000</v>
      </c>
      <c r="B515">
        <v>4400</v>
      </c>
      <c r="C515">
        <v>3</v>
      </c>
      <c r="D515">
        <v>1</v>
      </c>
      <c r="E515">
        <v>2</v>
      </c>
      <c r="F515" t="s">
        <v>13</v>
      </c>
      <c r="G515" t="s">
        <v>14</v>
      </c>
      <c r="H515" t="s">
        <v>14</v>
      </c>
      <c r="I515" t="s">
        <v>14</v>
      </c>
      <c r="J515" t="s">
        <v>14</v>
      </c>
      <c r="K515">
        <v>0</v>
      </c>
      <c r="L515" t="s">
        <v>14</v>
      </c>
      <c r="M515" t="s">
        <v>17</v>
      </c>
    </row>
    <row r="516" spans="1:13">
      <c r="A516">
        <v>2485000</v>
      </c>
      <c r="B516">
        <v>3000</v>
      </c>
      <c r="C516">
        <v>3</v>
      </c>
      <c r="D516">
        <v>1</v>
      </c>
      <c r="E516">
        <v>2</v>
      </c>
      <c r="F516" t="s">
        <v>14</v>
      </c>
      <c r="G516" t="s">
        <v>14</v>
      </c>
      <c r="H516" t="s">
        <v>14</v>
      </c>
      <c r="I516" t="s">
        <v>14</v>
      </c>
      <c r="J516" t="s">
        <v>14</v>
      </c>
      <c r="K516">
        <v>0</v>
      </c>
      <c r="L516" t="s">
        <v>14</v>
      </c>
      <c r="M516" t="s">
        <v>16</v>
      </c>
    </row>
    <row r="517" spans="1:13">
      <c r="A517">
        <v>2450000</v>
      </c>
      <c r="B517">
        <v>3210</v>
      </c>
      <c r="C517">
        <v>3</v>
      </c>
      <c r="D517">
        <v>1</v>
      </c>
      <c r="E517">
        <v>2</v>
      </c>
      <c r="F517" t="s">
        <v>13</v>
      </c>
      <c r="G517" t="s">
        <v>14</v>
      </c>
      <c r="H517" t="s">
        <v>13</v>
      </c>
      <c r="I517" t="s">
        <v>14</v>
      </c>
      <c r="J517" t="s">
        <v>14</v>
      </c>
      <c r="K517">
        <v>0</v>
      </c>
      <c r="L517" t="s">
        <v>14</v>
      </c>
      <c r="M517" t="s">
        <v>17</v>
      </c>
    </row>
    <row r="518" spans="1:13">
      <c r="A518">
        <v>2450000</v>
      </c>
      <c r="B518">
        <v>3240</v>
      </c>
      <c r="C518">
        <v>2</v>
      </c>
      <c r="D518">
        <v>1</v>
      </c>
      <c r="E518">
        <v>1</v>
      </c>
      <c r="F518" t="s">
        <v>14</v>
      </c>
      <c r="G518" t="s">
        <v>13</v>
      </c>
      <c r="H518" t="s">
        <v>14</v>
      </c>
      <c r="I518" t="s">
        <v>14</v>
      </c>
      <c r="J518" t="s">
        <v>14</v>
      </c>
      <c r="K518">
        <v>1</v>
      </c>
      <c r="L518" t="s">
        <v>14</v>
      </c>
      <c r="M518" t="s">
        <v>17</v>
      </c>
    </row>
    <row r="519" spans="1:13">
      <c r="A519">
        <v>2450000</v>
      </c>
      <c r="B519">
        <v>3000</v>
      </c>
      <c r="C519">
        <v>2</v>
      </c>
      <c r="D519">
        <v>1</v>
      </c>
      <c r="E519">
        <v>1</v>
      </c>
      <c r="F519" t="s">
        <v>13</v>
      </c>
      <c r="G519" t="s">
        <v>14</v>
      </c>
      <c r="H519" t="s">
        <v>14</v>
      </c>
      <c r="I519" t="s">
        <v>14</v>
      </c>
      <c r="J519" t="s">
        <v>14</v>
      </c>
      <c r="K519">
        <v>1</v>
      </c>
      <c r="L519" t="s">
        <v>14</v>
      </c>
      <c r="M519" t="s">
        <v>17</v>
      </c>
    </row>
    <row r="520" spans="1:13">
      <c r="A520">
        <v>2450000</v>
      </c>
      <c r="B520">
        <v>3500</v>
      </c>
      <c r="C520">
        <v>2</v>
      </c>
      <c r="D520">
        <v>1</v>
      </c>
      <c r="E520">
        <v>1</v>
      </c>
      <c r="F520" t="s">
        <v>13</v>
      </c>
      <c r="G520" t="s">
        <v>13</v>
      </c>
      <c r="H520" t="s">
        <v>14</v>
      </c>
      <c r="I520" t="s">
        <v>14</v>
      </c>
      <c r="J520" t="s">
        <v>14</v>
      </c>
      <c r="K520">
        <v>0</v>
      </c>
      <c r="L520" t="s">
        <v>14</v>
      </c>
      <c r="M520" t="s">
        <v>17</v>
      </c>
    </row>
    <row r="521" spans="1:13">
      <c r="A521">
        <v>2450000</v>
      </c>
      <c r="B521">
        <v>4840</v>
      </c>
      <c r="C521">
        <v>2</v>
      </c>
      <c r="D521">
        <v>1</v>
      </c>
      <c r="E521">
        <v>2</v>
      </c>
      <c r="F521" t="s">
        <v>13</v>
      </c>
      <c r="G521" t="s">
        <v>14</v>
      </c>
      <c r="H521" t="s">
        <v>14</v>
      </c>
      <c r="I521" t="s">
        <v>14</v>
      </c>
      <c r="J521" t="s">
        <v>14</v>
      </c>
      <c r="K521">
        <v>0</v>
      </c>
      <c r="L521" t="s">
        <v>14</v>
      </c>
      <c r="M521" t="s">
        <v>17</v>
      </c>
    </row>
    <row r="522" spans="1:13">
      <c r="A522">
        <v>2450000</v>
      </c>
      <c r="B522">
        <v>7700</v>
      </c>
      <c r="C522">
        <v>2</v>
      </c>
      <c r="D522">
        <v>1</v>
      </c>
      <c r="E522">
        <v>1</v>
      </c>
      <c r="F522" t="s">
        <v>13</v>
      </c>
      <c r="G522" t="s">
        <v>14</v>
      </c>
      <c r="H522" t="s">
        <v>14</v>
      </c>
      <c r="I522" t="s">
        <v>14</v>
      </c>
      <c r="J522" t="s">
        <v>14</v>
      </c>
      <c r="K522">
        <v>0</v>
      </c>
      <c r="L522" t="s">
        <v>14</v>
      </c>
      <c r="M522" t="s">
        <v>17</v>
      </c>
    </row>
    <row r="523" spans="1:13">
      <c r="A523">
        <v>2408000</v>
      </c>
      <c r="B523">
        <v>3635</v>
      </c>
      <c r="C523">
        <v>2</v>
      </c>
      <c r="D523">
        <v>1</v>
      </c>
      <c r="E523">
        <v>1</v>
      </c>
      <c r="F523" t="s">
        <v>14</v>
      </c>
      <c r="G523" t="s">
        <v>14</v>
      </c>
      <c r="H523" t="s">
        <v>14</v>
      </c>
      <c r="I523" t="s">
        <v>14</v>
      </c>
      <c r="J523" t="s">
        <v>14</v>
      </c>
      <c r="K523">
        <v>0</v>
      </c>
      <c r="L523" t="s">
        <v>14</v>
      </c>
      <c r="M523" t="s">
        <v>17</v>
      </c>
    </row>
    <row r="524" spans="1:13">
      <c r="A524">
        <v>2380000</v>
      </c>
      <c r="B524">
        <v>2475</v>
      </c>
      <c r="C524">
        <v>3</v>
      </c>
      <c r="D524">
        <v>1</v>
      </c>
      <c r="E524">
        <v>2</v>
      </c>
      <c r="F524" t="s">
        <v>13</v>
      </c>
      <c r="G524" t="s">
        <v>14</v>
      </c>
      <c r="H524" t="s">
        <v>14</v>
      </c>
      <c r="I524" t="s">
        <v>14</v>
      </c>
      <c r="J524" t="s">
        <v>14</v>
      </c>
      <c r="K524">
        <v>0</v>
      </c>
      <c r="L524" t="s">
        <v>14</v>
      </c>
      <c r="M524" t="s">
        <v>15</v>
      </c>
    </row>
    <row r="525" spans="1:13">
      <c r="A525">
        <v>2380000</v>
      </c>
      <c r="B525">
        <v>2787</v>
      </c>
      <c r="C525">
        <v>4</v>
      </c>
      <c r="D525">
        <v>2</v>
      </c>
      <c r="E525">
        <v>2</v>
      </c>
      <c r="F525" t="s">
        <v>13</v>
      </c>
      <c r="G525" t="s">
        <v>14</v>
      </c>
      <c r="H525" t="s">
        <v>14</v>
      </c>
      <c r="I525" t="s">
        <v>14</v>
      </c>
      <c r="J525" t="s">
        <v>14</v>
      </c>
      <c r="K525">
        <v>0</v>
      </c>
      <c r="L525" t="s">
        <v>14</v>
      </c>
      <c r="M525" t="s">
        <v>15</v>
      </c>
    </row>
    <row r="526" spans="1:13">
      <c r="A526">
        <v>2380000</v>
      </c>
      <c r="B526">
        <v>3264</v>
      </c>
      <c r="C526">
        <v>2</v>
      </c>
      <c r="D526">
        <v>1</v>
      </c>
      <c r="E526">
        <v>1</v>
      </c>
      <c r="F526" t="s">
        <v>13</v>
      </c>
      <c r="G526" t="s">
        <v>14</v>
      </c>
      <c r="H526" t="s">
        <v>14</v>
      </c>
      <c r="I526" t="s">
        <v>14</v>
      </c>
      <c r="J526" t="s">
        <v>14</v>
      </c>
      <c r="K526">
        <v>0</v>
      </c>
      <c r="L526" t="s">
        <v>14</v>
      </c>
      <c r="M526" t="s">
        <v>17</v>
      </c>
    </row>
    <row r="527" spans="1:13">
      <c r="A527">
        <v>2345000</v>
      </c>
      <c r="B527">
        <v>3640</v>
      </c>
      <c r="C527">
        <v>2</v>
      </c>
      <c r="D527">
        <v>1</v>
      </c>
      <c r="E527">
        <v>1</v>
      </c>
      <c r="F527" t="s">
        <v>13</v>
      </c>
      <c r="G527" t="s">
        <v>14</v>
      </c>
      <c r="H527" t="s">
        <v>14</v>
      </c>
      <c r="I527" t="s">
        <v>14</v>
      </c>
      <c r="J527" t="s">
        <v>14</v>
      </c>
      <c r="K527">
        <v>0</v>
      </c>
      <c r="L527" t="s">
        <v>14</v>
      </c>
      <c r="M527" t="s">
        <v>17</v>
      </c>
    </row>
    <row r="528" spans="1:13">
      <c r="A528">
        <v>2310000</v>
      </c>
      <c r="B528">
        <v>3180</v>
      </c>
      <c r="C528">
        <v>2</v>
      </c>
      <c r="D528">
        <v>1</v>
      </c>
      <c r="E528">
        <v>1</v>
      </c>
      <c r="F528" t="s">
        <v>13</v>
      </c>
      <c r="G528" t="s">
        <v>14</v>
      </c>
      <c r="H528" t="s">
        <v>14</v>
      </c>
      <c r="I528" t="s">
        <v>14</v>
      </c>
      <c r="J528" t="s">
        <v>14</v>
      </c>
      <c r="K528">
        <v>0</v>
      </c>
      <c r="L528" t="s">
        <v>14</v>
      </c>
      <c r="M528" t="s">
        <v>17</v>
      </c>
    </row>
    <row r="529" spans="1:13">
      <c r="A529">
        <v>2275000</v>
      </c>
      <c r="B529">
        <v>1836</v>
      </c>
      <c r="C529">
        <v>2</v>
      </c>
      <c r="D529">
        <v>1</v>
      </c>
      <c r="E529">
        <v>1</v>
      </c>
      <c r="F529" t="s">
        <v>14</v>
      </c>
      <c r="G529" t="s">
        <v>14</v>
      </c>
      <c r="H529" t="s">
        <v>13</v>
      </c>
      <c r="I529" t="s">
        <v>14</v>
      </c>
      <c r="J529" t="s">
        <v>14</v>
      </c>
      <c r="K529">
        <v>0</v>
      </c>
      <c r="L529" t="s">
        <v>14</v>
      </c>
      <c r="M529" t="s">
        <v>16</v>
      </c>
    </row>
    <row r="530" spans="1:13">
      <c r="A530">
        <v>2275000</v>
      </c>
      <c r="B530">
        <v>3970</v>
      </c>
      <c r="C530">
        <v>1</v>
      </c>
      <c r="D530">
        <v>1</v>
      </c>
      <c r="E530">
        <v>1</v>
      </c>
      <c r="F530" t="s">
        <v>14</v>
      </c>
      <c r="G530" t="s">
        <v>14</v>
      </c>
      <c r="H530" t="s">
        <v>14</v>
      </c>
      <c r="I530" t="s">
        <v>14</v>
      </c>
      <c r="J530" t="s">
        <v>14</v>
      </c>
      <c r="K530">
        <v>0</v>
      </c>
      <c r="L530" t="s">
        <v>14</v>
      </c>
      <c r="M530" t="s">
        <v>17</v>
      </c>
    </row>
    <row r="531" spans="1:13">
      <c r="A531">
        <v>2275000</v>
      </c>
      <c r="B531">
        <v>3970</v>
      </c>
      <c r="C531">
        <v>3</v>
      </c>
      <c r="D531">
        <v>1</v>
      </c>
      <c r="E531">
        <v>2</v>
      </c>
      <c r="F531" t="s">
        <v>13</v>
      </c>
      <c r="G531" t="s">
        <v>14</v>
      </c>
      <c r="H531" t="s">
        <v>13</v>
      </c>
      <c r="I531" t="s">
        <v>14</v>
      </c>
      <c r="J531" t="s">
        <v>14</v>
      </c>
      <c r="K531">
        <v>0</v>
      </c>
      <c r="L531" t="s">
        <v>14</v>
      </c>
      <c r="M531" t="s">
        <v>17</v>
      </c>
    </row>
    <row r="532" spans="1:13">
      <c r="A532">
        <v>2240000</v>
      </c>
      <c r="B532">
        <v>1950</v>
      </c>
      <c r="C532">
        <v>3</v>
      </c>
      <c r="D532">
        <v>1</v>
      </c>
      <c r="E532">
        <v>1</v>
      </c>
      <c r="F532" t="s">
        <v>14</v>
      </c>
      <c r="G532" t="s">
        <v>14</v>
      </c>
      <c r="H532" t="s">
        <v>14</v>
      </c>
      <c r="I532" t="s">
        <v>13</v>
      </c>
      <c r="J532" t="s">
        <v>14</v>
      </c>
      <c r="K532">
        <v>0</v>
      </c>
      <c r="L532" t="s">
        <v>14</v>
      </c>
      <c r="M532" t="s">
        <v>17</v>
      </c>
    </row>
    <row r="533" spans="1:13">
      <c r="A533">
        <v>2233000</v>
      </c>
      <c r="B533">
        <v>5300</v>
      </c>
      <c r="C533">
        <v>3</v>
      </c>
      <c r="D533">
        <v>1</v>
      </c>
      <c r="E533">
        <v>1</v>
      </c>
      <c r="F533" t="s">
        <v>14</v>
      </c>
      <c r="G533" t="s">
        <v>14</v>
      </c>
      <c r="H533" t="s">
        <v>14</v>
      </c>
      <c r="I533" t="s">
        <v>14</v>
      </c>
      <c r="J533" t="s">
        <v>13</v>
      </c>
      <c r="K533">
        <v>0</v>
      </c>
      <c r="L533" t="s">
        <v>13</v>
      </c>
      <c r="M533" t="s">
        <v>17</v>
      </c>
    </row>
    <row r="534" spans="1:13">
      <c r="A534">
        <v>2135000</v>
      </c>
      <c r="B534">
        <v>3000</v>
      </c>
      <c r="C534">
        <v>2</v>
      </c>
      <c r="D534">
        <v>1</v>
      </c>
      <c r="E534">
        <v>1</v>
      </c>
      <c r="F534" t="s">
        <v>14</v>
      </c>
      <c r="G534" t="s">
        <v>14</v>
      </c>
      <c r="H534" t="s">
        <v>14</v>
      </c>
      <c r="I534" t="s">
        <v>14</v>
      </c>
      <c r="J534" t="s">
        <v>14</v>
      </c>
      <c r="K534">
        <v>0</v>
      </c>
      <c r="L534" t="s">
        <v>14</v>
      </c>
      <c r="M534" t="s">
        <v>17</v>
      </c>
    </row>
    <row r="535" spans="1:13">
      <c r="A535">
        <v>2100000</v>
      </c>
      <c r="B535">
        <v>2400</v>
      </c>
      <c r="C535">
        <v>3</v>
      </c>
      <c r="D535">
        <v>1</v>
      </c>
      <c r="E535">
        <v>2</v>
      </c>
      <c r="F535" t="s">
        <v>13</v>
      </c>
      <c r="G535" t="s">
        <v>14</v>
      </c>
      <c r="H535" t="s">
        <v>14</v>
      </c>
      <c r="I535" t="s">
        <v>14</v>
      </c>
      <c r="J535" t="s">
        <v>14</v>
      </c>
      <c r="K535">
        <v>0</v>
      </c>
      <c r="L535" t="s">
        <v>14</v>
      </c>
      <c r="M535" t="s">
        <v>17</v>
      </c>
    </row>
    <row r="536" spans="1:13">
      <c r="A536">
        <v>2100000</v>
      </c>
      <c r="B536">
        <v>3000</v>
      </c>
      <c r="C536">
        <v>4</v>
      </c>
      <c r="D536">
        <v>1</v>
      </c>
      <c r="E536">
        <v>2</v>
      </c>
      <c r="F536" t="s">
        <v>13</v>
      </c>
      <c r="G536" t="s">
        <v>14</v>
      </c>
      <c r="H536" t="s">
        <v>14</v>
      </c>
      <c r="I536" t="s">
        <v>14</v>
      </c>
      <c r="J536" t="s">
        <v>14</v>
      </c>
      <c r="K536">
        <v>0</v>
      </c>
      <c r="L536" t="s">
        <v>14</v>
      </c>
      <c r="M536" t="s">
        <v>17</v>
      </c>
    </row>
    <row r="537" spans="1:13">
      <c r="A537">
        <v>2100000</v>
      </c>
      <c r="B537">
        <v>3360</v>
      </c>
      <c r="C537">
        <v>2</v>
      </c>
      <c r="D537">
        <v>1</v>
      </c>
      <c r="E537">
        <v>1</v>
      </c>
      <c r="F537" t="s">
        <v>13</v>
      </c>
      <c r="G537" t="s">
        <v>14</v>
      </c>
      <c r="H537" t="s">
        <v>14</v>
      </c>
      <c r="I537" t="s">
        <v>14</v>
      </c>
      <c r="J537" t="s">
        <v>14</v>
      </c>
      <c r="K537">
        <v>1</v>
      </c>
      <c r="L537" t="s">
        <v>14</v>
      </c>
      <c r="M537" t="s">
        <v>17</v>
      </c>
    </row>
    <row r="538" spans="1:13">
      <c r="A538">
        <v>1960000</v>
      </c>
      <c r="B538">
        <v>3420</v>
      </c>
      <c r="C538">
        <v>5</v>
      </c>
      <c r="D538">
        <v>1</v>
      </c>
      <c r="E538">
        <v>2</v>
      </c>
      <c r="F538" t="s">
        <v>14</v>
      </c>
      <c r="G538" t="s">
        <v>14</v>
      </c>
      <c r="H538" t="s">
        <v>14</v>
      </c>
      <c r="I538" t="s">
        <v>14</v>
      </c>
      <c r="J538" t="s">
        <v>14</v>
      </c>
      <c r="K538">
        <v>0</v>
      </c>
      <c r="L538" t="s">
        <v>14</v>
      </c>
      <c r="M538" t="s">
        <v>17</v>
      </c>
    </row>
    <row r="539" spans="1:13">
      <c r="A539">
        <v>1890000</v>
      </c>
      <c r="B539">
        <v>1700</v>
      </c>
      <c r="C539">
        <v>3</v>
      </c>
      <c r="D539">
        <v>1</v>
      </c>
      <c r="E539">
        <v>2</v>
      </c>
      <c r="F539" t="s">
        <v>13</v>
      </c>
      <c r="G539" t="s">
        <v>14</v>
      </c>
      <c r="H539" t="s">
        <v>14</v>
      </c>
      <c r="I539" t="s">
        <v>14</v>
      </c>
      <c r="J539" t="s">
        <v>14</v>
      </c>
      <c r="K539">
        <v>0</v>
      </c>
      <c r="L539" t="s">
        <v>14</v>
      </c>
      <c r="M539" t="s">
        <v>17</v>
      </c>
    </row>
    <row r="540" spans="1:13">
      <c r="A540">
        <v>1890000</v>
      </c>
      <c r="B540">
        <v>3649</v>
      </c>
      <c r="C540">
        <v>2</v>
      </c>
      <c r="D540">
        <v>1</v>
      </c>
      <c r="E540">
        <v>1</v>
      </c>
      <c r="F540" t="s">
        <v>13</v>
      </c>
      <c r="G540" t="s">
        <v>14</v>
      </c>
      <c r="H540" t="s">
        <v>14</v>
      </c>
      <c r="I540" t="s">
        <v>14</v>
      </c>
      <c r="J540" t="s">
        <v>14</v>
      </c>
      <c r="K540">
        <v>0</v>
      </c>
      <c r="L540" t="s">
        <v>14</v>
      </c>
      <c r="M540" t="s">
        <v>17</v>
      </c>
    </row>
    <row r="541" spans="1:13">
      <c r="A541">
        <v>1855000</v>
      </c>
      <c r="B541">
        <v>2990</v>
      </c>
      <c r="C541">
        <v>2</v>
      </c>
      <c r="D541">
        <v>1</v>
      </c>
      <c r="E541">
        <v>1</v>
      </c>
      <c r="F541" t="s">
        <v>14</v>
      </c>
      <c r="G541" t="s">
        <v>14</v>
      </c>
      <c r="H541" t="s">
        <v>14</v>
      </c>
      <c r="I541" t="s">
        <v>14</v>
      </c>
      <c r="J541" t="s">
        <v>14</v>
      </c>
      <c r="K541">
        <v>1</v>
      </c>
      <c r="L541" t="s">
        <v>14</v>
      </c>
      <c r="M541" t="s">
        <v>17</v>
      </c>
    </row>
    <row r="542" spans="1:13">
      <c r="A542">
        <v>1820000</v>
      </c>
      <c r="B542">
        <v>3000</v>
      </c>
      <c r="C542">
        <v>2</v>
      </c>
      <c r="D542">
        <v>1</v>
      </c>
      <c r="E542">
        <v>1</v>
      </c>
      <c r="F542" t="s">
        <v>13</v>
      </c>
      <c r="G542" t="s">
        <v>14</v>
      </c>
      <c r="H542" t="s">
        <v>13</v>
      </c>
      <c r="I542" t="s">
        <v>14</v>
      </c>
      <c r="J542" t="s">
        <v>14</v>
      </c>
      <c r="K542">
        <v>2</v>
      </c>
      <c r="L542" t="s">
        <v>14</v>
      </c>
      <c r="M542" t="s">
        <v>17</v>
      </c>
    </row>
    <row r="543" spans="1:13">
      <c r="A543">
        <v>1767150</v>
      </c>
      <c r="B543">
        <v>2400</v>
      </c>
      <c r="C543">
        <v>3</v>
      </c>
      <c r="D543">
        <v>1</v>
      </c>
      <c r="E543">
        <v>1</v>
      </c>
      <c r="F543" t="s">
        <v>14</v>
      </c>
      <c r="G543" t="s">
        <v>14</v>
      </c>
      <c r="H543" t="s">
        <v>14</v>
      </c>
      <c r="I543" t="s">
        <v>14</v>
      </c>
      <c r="J543" t="s">
        <v>14</v>
      </c>
      <c r="K543">
        <v>0</v>
      </c>
      <c r="L543" t="s">
        <v>14</v>
      </c>
      <c r="M543" t="s">
        <v>16</v>
      </c>
    </row>
    <row r="544" spans="1:13">
      <c r="A544">
        <v>1750000</v>
      </c>
      <c r="B544">
        <v>3620</v>
      </c>
      <c r="C544">
        <v>2</v>
      </c>
      <c r="D544">
        <v>1</v>
      </c>
      <c r="E544">
        <v>1</v>
      </c>
      <c r="F544" t="s">
        <v>13</v>
      </c>
      <c r="G544" t="s">
        <v>14</v>
      </c>
      <c r="H544" t="s">
        <v>14</v>
      </c>
      <c r="I544" t="s">
        <v>14</v>
      </c>
      <c r="J544" t="s">
        <v>14</v>
      </c>
      <c r="K544">
        <v>0</v>
      </c>
      <c r="L544" t="s">
        <v>14</v>
      </c>
      <c r="M544" t="s">
        <v>17</v>
      </c>
    </row>
    <row r="545" spans="1:13">
      <c r="A545">
        <v>1750000</v>
      </c>
      <c r="B545">
        <v>2910</v>
      </c>
      <c r="C545">
        <v>3</v>
      </c>
      <c r="D545">
        <v>1</v>
      </c>
      <c r="E545">
        <v>1</v>
      </c>
      <c r="F545" t="s">
        <v>14</v>
      </c>
      <c r="G545" t="s">
        <v>14</v>
      </c>
      <c r="H545" t="s">
        <v>14</v>
      </c>
      <c r="I545" t="s">
        <v>14</v>
      </c>
      <c r="J545" t="s">
        <v>14</v>
      </c>
      <c r="K545">
        <v>0</v>
      </c>
      <c r="L545" t="s">
        <v>14</v>
      </c>
      <c r="M545" t="s">
        <v>15</v>
      </c>
    </row>
    <row r="546" spans="1:13">
      <c r="A546">
        <v>1750000</v>
      </c>
      <c r="B546">
        <v>3850</v>
      </c>
      <c r="C546">
        <v>3</v>
      </c>
      <c r="D546">
        <v>1</v>
      </c>
      <c r="E546">
        <v>2</v>
      </c>
      <c r="F546" t="s">
        <v>13</v>
      </c>
      <c r="G546" t="s">
        <v>14</v>
      </c>
      <c r="H546" t="s">
        <v>14</v>
      </c>
      <c r="I546" t="s">
        <v>14</v>
      </c>
      <c r="J546" t="s">
        <v>14</v>
      </c>
      <c r="K546">
        <v>0</v>
      </c>
      <c r="L546" t="s">
        <v>14</v>
      </c>
      <c r="M54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DD644-923B-45DF-90CB-EDEEC803DB5E}">
  <dimension ref="A1:D15"/>
  <sheetViews>
    <sheetView tabSelected="1" workbookViewId="0">
      <selection activeCell="B28" sqref="B28"/>
    </sheetView>
  </sheetViews>
  <sheetFormatPr defaultRowHeight="14.45"/>
  <cols>
    <col min="1" max="1" width="16.140625" bestFit="1" customWidth="1"/>
    <col min="2" max="2" width="12" bestFit="1" customWidth="1"/>
    <col min="3" max="3" width="16.140625" bestFit="1" customWidth="1"/>
  </cols>
  <sheetData>
    <row r="1" spans="1:4">
      <c r="A1" s="4" t="s">
        <v>0</v>
      </c>
      <c r="B1" s="4"/>
      <c r="C1" s="4" t="s">
        <v>1</v>
      </c>
      <c r="D1" s="4"/>
    </row>
    <row r="3" spans="1:4">
      <c r="A3" t="s">
        <v>18</v>
      </c>
      <c r="B3">
        <v>4766729.2477064217</v>
      </c>
      <c r="C3" t="s">
        <v>18</v>
      </c>
      <c r="D3">
        <v>5150.54128440367</v>
      </c>
    </row>
    <row r="4" spans="1:4">
      <c r="A4" t="s">
        <v>19</v>
      </c>
      <c r="B4">
        <v>80120.830262002477</v>
      </c>
      <c r="C4" t="s">
        <v>19</v>
      </c>
      <c r="D4">
        <v>92.958628043133047</v>
      </c>
    </row>
    <row r="5" spans="1:4">
      <c r="A5" t="s">
        <v>20</v>
      </c>
      <c r="B5">
        <v>4340000</v>
      </c>
      <c r="C5" t="s">
        <v>20</v>
      </c>
      <c r="D5">
        <v>4600</v>
      </c>
    </row>
    <row r="6" spans="1:4">
      <c r="A6" t="s">
        <v>21</v>
      </c>
      <c r="B6">
        <v>4200000</v>
      </c>
      <c r="C6" t="s">
        <v>21</v>
      </c>
      <c r="D6">
        <v>6000</v>
      </c>
    </row>
    <row r="7" spans="1:4">
      <c r="A7" t="s">
        <v>22</v>
      </c>
      <c r="B7">
        <v>1870439.6156573924</v>
      </c>
      <c r="C7" t="s">
        <v>22</v>
      </c>
      <c r="D7">
        <v>2170.1410225088025</v>
      </c>
    </row>
    <row r="8" spans="1:4">
      <c r="A8" t="s">
        <v>23</v>
      </c>
      <c r="B8">
        <v>3498544355820.5737</v>
      </c>
      <c r="C8" t="s">
        <v>23</v>
      </c>
      <c r="D8">
        <v>4709512.0575755518</v>
      </c>
    </row>
    <row r="9" spans="1:4">
      <c r="A9" t="s">
        <v>24</v>
      </c>
      <c r="B9">
        <v>1.9601302314151781</v>
      </c>
      <c r="C9" t="s">
        <v>24</v>
      </c>
      <c r="D9">
        <v>2.7514801872608174</v>
      </c>
    </row>
    <row r="10" spans="1:4">
      <c r="A10" t="s">
        <v>25</v>
      </c>
      <c r="B10">
        <v>1.2122388370279782</v>
      </c>
      <c r="C10" t="s">
        <v>25</v>
      </c>
      <c r="D10">
        <v>1.3211883431534821</v>
      </c>
    </row>
    <row r="11" spans="1:4">
      <c r="A11" t="s">
        <v>26</v>
      </c>
      <c r="B11">
        <v>11550000</v>
      </c>
      <c r="C11" t="s">
        <v>26</v>
      </c>
      <c r="D11">
        <v>14550</v>
      </c>
    </row>
    <row r="12" spans="1:4">
      <c r="A12" t="s">
        <v>27</v>
      </c>
      <c r="B12">
        <v>1750000</v>
      </c>
      <c r="C12" t="s">
        <v>27</v>
      </c>
      <c r="D12">
        <v>1650</v>
      </c>
    </row>
    <row r="13" spans="1:4">
      <c r="A13" t="s">
        <v>28</v>
      </c>
      <c r="B13">
        <v>13300000</v>
      </c>
      <c r="C13" t="s">
        <v>28</v>
      </c>
      <c r="D13">
        <v>16200</v>
      </c>
    </row>
    <row r="14" spans="1:4">
      <c r="A14" t="s">
        <v>29</v>
      </c>
      <c r="B14">
        <v>2597867440</v>
      </c>
      <c r="C14" t="s">
        <v>29</v>
      </c>
      <c r="D14">
        <v>2807045</v>
      </c>
    </row>
    <row r="15" spans="1:4" ht="15" thickBot="1">
      <c r="A15" s="3" t="s">
        <v>30</v>
      </c>
      <c r="B15" s="3">
        <v>545</v>
      </c>
      <c r="C15" s="3" t="s">
        <v>30</v>
      </c>
      <c r="D15" s="3">
        <v>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11B8F-CDBD-499B-9527-89CADA441447}">
  <dimension ref="A1:O15"/>
  <sheetViews>
    <sheetView workbookViewId="0">
      <selection activeCell="F17" sqref="F17"/>
    </sheetView>
  </sheetViews>
  <sheetFormatPr defaultRowHeight="14.45"/>
  <sheetData>
    <row r="1" spans="1:15">
      <c r="A1" s="4"/>
      <c r="B1" s="4" t="s">
        <v>1</v>
      </c>
      <c r="C1" s="4" t="s">
        <v>31</v>
      </c>
      <c r="D1" s="4" t="s">
        <v>32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0</v>
      </c>
    </row>
    <row r="2" spans="1:15">
      <c r="A2" t="s">
        <v>1</v>
      </c>
      <c r="B2">
        <v>1</v>
      </c>
    </row>
    <row r="3" spans="1:15">
      <c r="A3" t="s">
        <v>31</v>
      </c>
      <c r="B3">
        <v>0.14577171341274528</v>
      </c>
      <c r="C3">
        <v>1</v>
      </c>
    </row>
    <row r="4" spans="1:15">
      <c r="A4" t="s">
        <v>32</v>
      </c>
      <c r="B4">
        <v>6.1561642179015254E-3</v>
      </c>
      <c r="C4">
        <v>-0.49674771130524736</v>
      </c>
      <c r="D4">
        <v>1</v>
      </c>
    </row>
    <row r="5" spans="1:15">
      <c r="A5" t="s">
        <v>2</v>
      </c>
      <c r="B5">
        <v>0.15185848557453643</v>
      </c>
      <c r="C5">
        <v>7.9054348037254793E-2</v>
      </c>
      <c r="D5">
        <v>5.0039946583664931E-2</v>
      </c>
      <c r="E5">
        <v>1</v>
      </c>
    </row>
    <row r="6" spans="1:15">
      <c r="A6" t="s">
        <v>3</v>
      </c>
      <c r="B6">
        <v>0.19381953105205132</v>
      </c>
      <c r="C6">
        <v>0.10813890348610476</v>
      </c>
      <c r="D6">
        <v>2.9833529528112784E-2</v>
      </c>
      <c r="E6">
        <v>0.37393023597215297</v>
      </c>
      <c r="F6">
        <v>1</v>
      </c>
    </row>
    <row r="7" spans="1:15">
      <c r="A7" t="s">
        <v>4</v>
      </c>
      <c r="B7">
        <v>8.3996050928919333E-2</v>
      </c>
      <c r="C7">
        <v>9.3176489073577298E-2</v>
      </c>
      <c r="D7">
        <v>-3.6483046040638924E-3</v>
      </c>
      <c r="E7">
        <v>0.40856423753814824</v>
      </c>
      <c r="F7">
        <v>0.32616470613293752</v>
      </c>
      <c r="G7">
        <v>1</v>
      </c>
    </row>
    <row r="8" spans="1:15">
      <c r="A8" t="s">
        <v>5</v>
      </c>
      <c r="B8">
        <v>0.28887411412506786</v>
      </c>
      <c r="C8">
        <v>0.12997147642305915</v>
      </c>
      <c r="D8">
        <v>1.1450331743293202E-2</v>
      </c>
      <c r="E8">
        <v>-1.2033244762023824E-2</v>
      </c>
      <c r="F8">
        <v>4.2397624005527504E-2</v>
      </c>
      <c r="G8">
        <v>0.12170613053945557</v>
      </c>
      <c r="H8">
        <v>1</v>
      </c>
    </row>
    <row r="9" spans="1:15">
      <c r="A9" t="s">
        <v>6</v>
      </c>
      <c r="B9">
        <v>0.14029659048177068</v>
      </c>
      <c r="C9">
        <v>9.9721498361337965E-2</v>
      </c>
      <c r="D9">
        <v>5.8205796602150009E-3</v>
      </c>
      <c r="E9">
        <v>8.0548704202237656E-2</v>
      </c>
      <c r="F9">
        <v>0.12646884480526696</v>
      </c>
      <c r="G9">
        <v>4.3537671500574665E-2</v>
      </c>
      <c r="H9">
        <v>9.233691908079647E-2</v>
      </c>
      <c r="I9">
        <v>1</v>
      </c>
    </row>
    <row r="10" spans="1:15">
      <c r="A10" t="s">
        <v>7</v>
      </c>
      <c r="B10">
        <v>4.7416988564942898E-2</v>
      </c>
      <c r="C10">
        <v>6.9851585417203307E-2</v>
      </c>
      <c r="D10">
        <v>5.0284408583013723E-2</v>
      </c>
      <c r="E10">
        <v>9.73124240981149E-2</v>
      </c>
      <c r="F10">
        <v>0.10210570644531275</v>
      </c>
      <c r="G10">
        <v>-0.17239361748659451</v>
      </c>
      <c r="H10">
        <v>4.4002081101454781E-2</v>
      </c>
      <c r="I10">
        <v>0.37206570752256063</v>
      </c>
      <c r="J10">
        <v>1</v>
      </c>
    </row>
    <row r="11" spans="1:15">
      <c r="A11" t="s">
        <v>8</v>
      </c>
      <c r="B11">
        <v>-9.2292360532352947E-3</v>
      </c>
      <c r="C11">
        <v>-8.4715841750174197E-3</v>
      </c>
      <c r="D11">
        <v>6.3818794591915751E-2</v>
      </c>
      <c r="E11">
        <v>4.6048886983068096E-2</v>
      </c>
      <c r="F11">
        <v>6.7159096475087429E-2</v>
      </c>
      <c r="G11">
        <v>1.8846510680018545E-2</v>
      </c>
      <c r="H11">
        <v>-1.178148989678808E-2</v>
      </c>
      <c r="I11">
        <v>-1.0307884273308216E-2</v>
      </c>
      <c r="J11">
        <v>4.3848360689689456E-3</v>
      </c>
      <c r="K11">
        <v>1</v>
      </c>
    </row>
    <row r="12" spans="1:15">
      <c r="A12" t="s">
        <v>9</v>
      </c>
      <c r="B12">
        <v>0.22239310353898015</v>
      </c>
      <c r="C12">
        <v>0.16099376655430545</v>
      </c>
      <c r="D12">
        <v>-5.317940270535499E-2</v>
      </c>
      <c r="E12">
        <v>0.16060325689743865</v>
      </c>
      <c r="F12">
        <v>0.18691502783239086</v>
      </c>
      <c r="G12">
        <v>0.29360200037393963</v>
      </c>
      <c r="H12">
        <v>0.1054229980728528</v>
      </c>
      <c r="I12">
        <v>0.1381787666091448</v>
      </c>
      <c r="J12">
        <v>4.7341188518528962E-2</v>
      </c>
      <c r="K12">
        <v>-0.13002283342067628</v>
      </c>
      <c r="L12">
        <v>1</v>
      </c>
    </row>
    <row r="13" spans="1:15">
      <c r="A13" t="s">
        <v>10</v>
      </c>
      <c r="B13">
        <v>0.35298048121168096</v>
      </c>
      <c r="C13">
        <v>0.13123395948358715</v>
      </c>
      <c r="D13">
        <v>4.132678874460919E-2</v>
      </c>
      <c r="E13">
        <v>0.13926989686561128</v>
      </c>
      <c r="F13">
        <v>0.17749582102283123</v>
      </c>
      <c r="G13">
        <v>4.5547091916846104E-2</v>
      </c>
      <c r="H13">
        <v>0.20443254752943632</v>
      </c>
      <c r="I13">
        <v>3.7465745803715762E-2</v>
      </c>
      <c r="J13">
        <v>5.1497175395196569E-2</v>
      </c>
      <c r="K13">
        <v>6.7863888465172842E-2</v>
      </c>
      <c r="L13">
        <v>0.15917268297096371</v>
      </c>
      <c r="M13">
        <v>1</v>
      </c>
    </row>
    <row r="14" spans="1:15">
      <c r="A14" t="s">
        <v>11</v>
      </c>
      <c r="B14">
        <v>0.23477879839351298</v>
      </c>
      <c r="C14">
        <v>0.10024921371886773</v>
      </c>
      <c r="D14">
        <v>-1.1534891702166768E-2</v>
      </c>
      <c r="E14">
        <v>7.9023064082322722E-2</v>
      </c>
      <c r="F14">
        <v>6.3471740216995198E-2</v>
      </c>
      <c r="G14">
        <v>4.442487225791427E-2</v>
      </c>
      <c r="H14">
        <v>0.19987577692801148</v>
      </c>
      <c r="I14">
        <v>0.16089693624045276</v>
      </c>
      <c r="J14">
        <v>0.22808285272641959</v>
      </c>
      <c r="K14">
        <v>-5.9411381804012245E-2</v>
      </c>
      <c r="L14">
        <v>0.11738209724461227</v>
      </c>
      <c r="M14">
        <v>9.1627061933810733E-2</v>
      </c>
      <c r="N14">
        <v>1</v>
      </c>
    </row>
    <row r="15" spans="1:15" ht="15" thickBot="1">
      <c r="A15" s="3" t="s">
        <v>0</v>
      </c>
      <c r="B15" s="3">
        <v>0.53599734577807878</v>
      </c>
      <c r="C15" s="3">
        <v>0.22935031248432899</v>
      </c>
      <c r="D15" s="3">
        <v>6.365633818953613E-2</v>
      </c>
      <c r="E15" s="3">
        <v>0.36649402577386786</v>
      </c>
      <c r="F15" s="3">
        <v>0.51754533945500758</v>
      </c>
      <c r="G15" s="3">
        <v>0.42071236618861418</v>
      </c>
      <c r="H15" s="3">
        <v>0.29689848926397566</v>
      </c>
      <c r="I15" s="3">
        <v>0.25551728993500039</v>
      </c>
      <c r="J15" s="3">
        <v>0.18705659793805243</v>
      </c>
      <c r="K15" s="3">
        <v>9.3072843921397141E-2</v>
      </c>
      <c r="L15" s="3">
        <v>0.45295408425604616</v>
      </c>
      <c r="M15" s="3">
        <v>0.38439364863572384</v>
      </c>
      <c r="N15" s="3">
        <v>0.32977704986811035</v>
      </c>
      <c r="O15" s="3">
        <v>1</v>
      </c>
    </row>
  </sheetData>
  <conditionalFormatting sqref="A1:O1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64D2-CB57-4301-B427-428BB8414643}">
  <dimension ref="A1:AC546"/>
  <sheetViews>
    <sheetView topLeftCell="H304" zoomScale="93" zoomScaleNormal="55" workbookViewId="0">
      <selection activeCell="Q324" sqref="Q324"/>
    </sheetView>
  </sheetViews>
  <sheetFormatPr defaultRowHeight="14.45"/>
  <cols>
    <col min="1" max="1" width="6.85546875" style="1" customWidth="1"/>
    <col min="2" max="2" width="16.42578125" customWidth="1"/>
    <col min="3" max="3" width="11.5703125" customWidth="1"/>
    <col min="4" max="5" width="12.140625" customWidth="1"/>
    <col min="6" max="6" width="10.85546875" customWidth="1"/>
    <col min="7" max="7" width="16.28515625" customWidth="1"/>
    <col min="8" max="8" width="15.5703125" customWidth="1"/>
    <col min="9" max="9" width="16.5703125" customWidth="1"/>
    <col min="10" max="10" width="15.42578125" customWidth="1"/>
    <col min="11" max="11" width="14.5703125" customWidth="1"/>
    <col min="12" max="12" width="10" customWidth="1"/>
    <col min="13" max="13" width="18.7109375" customWidth="1"/>
    <col min="17" max="17" width="13.28515625" customWidth="1"/>
    <col min="18" max="18" width="17.42578125" customWidth="1"/>
    <col min="19" max="19" width="11.5703125" customWidth="1"/>
    <col min="20" max="20" width="12.140625" customWidth="1"/>
    <col min="22" max="22" width="10.85546875" customWidth="1"/>
    <col min="23" max="23" width="12.140625" customWidth="1"/>
    <col min="24" max="24" width="11.28515625" customWidth="1"/>
    <col min="25" max="25" width="16.5703125" customWidth="1"/>
    <col min="26" max="26" width="15.42578125" customWidth="1"/>
    <col min="27" max="27" width="9.140625" customWidth="1"/>
    <col min="28" max="28" width="10" customWidth="1"/>
    <col min="29" max="29" width="14.42578125" bestFit="1" customWidth="1"/>
  </cols>
  <sheetData>
    <row r="1" spans="1:29">
      <c r="A1" t="s">
        <v>1</v>
      </c>
      <c r="B1" t="s">
        <v>12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0</v>
      </c>
      <c r="P1" t="s">
        <v>1</v>
      </c>
      <c r="Q1" t="s">
        <v>31</v>
      </c>
      <c r="R1" t="s">
        <v>32</v>
      </c>
      <c r="S1" t="s">
        <v>2</v>
      </c>
      <c r="T1" t="s">
        <v>3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  <c r="AC1" s="1" t="s">
        <v>0</v>
      </c>
    </row>
    <row r="2" spans="1:29">
      <c r="A2">
        <v>7420</v>
      </c>
      <c r="B2" t="s">
        <v>15</v>
      </c>
      <c r="C2">
        <v>4</v>
      </c>
      <c r="D2">
        <v>2</v>
      </c>
      <c r="E2">
        <v>3</v>
      </c>
      <c r="F2" t="s">
        <v>13</v>
      </c>
      <c r="G2" t="s">
        <v>14</v>
      </c>
      <c r="H2" t="s">
        <v>14</v>
      </c>
      <c r="I2" t="s">
        <v>14</v>
      </c>
      <c r="J2" t="s">
        <v>13</v>
      </c>
      <c r="K2">
        <v>2</v>
      </c>
      <c r="L2" t="s">
        <v>13</v>
      </c>
      <c r="M2" s="1">
        <v>13300000</v>
      </c>
      <c r="P2">
        <v>7420</v>
      </c>
      <c r="Q2">
        <f>IF(Table1[[#This Row],[furnishingstatus]]="furnished", 1, 0)</f>
        <v>1</v>
      </c>
      <c r="R2">
        <f>IF(Table1[[#This Row],[furnishingstatus]]="semi-furnished", 1, 0)</f>
        <v>0</v>
      </c>
      <c r="S2">
        <v>4</v>
      </c>
      <c r="T2">
        <v>2</v>
      </c>
      <c r="U2">
        <v>3</v>
      </c>
      <c r="V2">
        <f>IF(Table1[[#This Row],[mainroad]] = "yes", 1, 0)</f>
        <v>1</v>
      </c>
      <c r="W2">
        <f>IF(Table1[[#This Row],[guestroom]]= "yes", 1, 0)</f>
        <v>0</v>
      </c>
      <c r="X2">
        <f>IF(Table1[[#This Row],[basement]]="yes", 1, 0)</f>
        <v>0</v>
      </c>
      <c r="Y2">
        <f>IF(Table1[[#This Row],[hotwaterheating]]="yes", 1, 0)</f>
        <v>0</v>
      </c>
      <c r="Z2">
        <f>IF(Table1[[#This Row],[airconditioning]]="yes", 1, 0)</f>
        <v>1</v>
      </c>
      <c r="AA2">
        <v>2</v>
      </c>
      <c r="AB2">
        <f>IF(Table1[[#This Row],[prefarea]]= "yes", 1, 0)</f>
        <v>1</v>
      </c>
      <c r="AC2" s="1">
        <v>13300000</v>
      </c>
    </row>
    <row r="3" spans="1:29">
      <c r="A3">
        <v>8960</v>
      </c>
      <c r="B3" t="s">
        <v>15</v>
      </c>
      <c r="C3">
        <v>4</v>
      </c>
      <c r="D3">
        <v>4</v>
      </c>
      <c r="E3">
        <v>4</v>
      </c>
      <c r="F3" t="s">
        <v>13</v>
      </c>
      <c r="G3" t="s">
        <v>14</v>
      </c>
      <c r="H3" t="s">
        <v>14</v>
      </c>
      <c r="I3" t="s">
        <v>14</v>
      </c>
      <c r="J3" t="s">
        <v>13</v>
      </c>
      <c r="K3">
        <v>3</v>
      </c>
      <c r="L3" t="s">
        <v>14</v>
      </c>
      <c r="M3" s="1">
        <v>12250000</v>
      </c>
      <c r="P3">
        <v>8960</v>
      </c>
      <c r="Q3">
        <f>IF(Table1[[#This Row],[furnishingstatus]]="furnished", 1, 0)</f>
        <v>1</v>
      </c>
      <c r="R3">
        <f>IF(Table1[[#This Row],[furnishingstatus]]="semi-furnished", 1, 0)</f>
        <v>0</v>
      </c>
      <c r="S3">
        <v>4</v>
      </c>
      <c r="T3">
        <v>4</v>
      </c>
      <c r="U3">
        <v>4</v>
      </c>
      <c r="V3">
        <f>IF(Table1[[#This Row],[mainroad]] = "yes", 1, 0)</f>
        <v>1</v>
      </c>
      <c r="W3">
        <f>IF(Table1[[#This Row],[guestroom]]= "yes", 1, 0)</f>
        <v>0</v>
      </c>
      <c r="X3">
        <f>IF(Table1[[#This Row],[basement]]="yes", 1, 0)</f>
        <v>0</v>
      </c>
      <c r="Y3">
        <f>IF(Table1[[#This Row],[hotwaterheating]]="yes", 1, 0)</f>
        <v>0</v>
      </c>
      <c r="Z3">
        <f>IF(Table1[[#This Row],[airconditioning]]="yes", 1, 0)</f>
        <v>1</v>
      </c>
      <c r="AA3">
        <v>3</v>
      </c>
      <c r="AB3">
        <f>IF(Table1[[#This Row],[prefarea]]= "yes", 1, 0)</f>
        <v>0</v>
      </c>
      <c r="AC3" s="1">
        <v>12250000</v>
      </c>
    </row>
    <row r="4" spans="1:29">
      <c r="A4">
        <v>9960</v>
      </c>
      <c r="B4" t="s">
        <v>16</v>
      </c>
      <c r="C4">
        <v>3</v>
      </c>
      <c r="D4">
        <v>2</v>
      </c>
      <c r="E4">
        <v>2</v>
      </c>
      <c r="F4" t="s">
        <v>13</v>
      </c>
      <c r="G4" t="s">
        <v>14</v>
      </c>
      <c r="H4" t="s">
        <v>13</v>
      </c>
      <c r="I4" t="s">
        <v>14</v>
      </c>
      <c r="J4" t="s">
        <v>14</v>
      </c>
      <c r="K4">
        <v>2</v>
      </c>
      <c r="L4" t="s">
        <v>13</v>
      </c>
      <c r="M4" s="1">
        <v>12250000</v>
      </c>
      <c r="P4">
        <v>9960</v>
      </c>
      <c r="Q4">
        <f>IF(Table1[[#This Row],[furnishingstatus]]="furnished", 1, 0)</f>
        <v>0</v>
      </c>
      <c r="R4">
        <f>IF(Table1[[#This Row],[furnishingstatus]]="semi-furnished", 1, 0)</f>
        <v>1</v>
      </c>
      <c r="S4">
        <v>3</v>
      </c>
      <c r="T4">
        <v>2</v>
      </c>
      <c r="U4">
        <v>2</v>
      </c>
      <c r="V4">
        <f>IF(Table1[[#This Row],[mainroad]] = "yes", 1, 0)</f>
        <v>1</v>
      </c>
      <c r="W4">
        <f>IF(Table1[[#This Row],[guestroom]]= "yes", 1, 0)</f>
        <v>0</v>
      </c>
      <c r="X4">
        <f>IF(Table1[[#This Row],[basement]]="yes", 1, 0)</f>
        <v>1</v>
      </c>
      <c r="Y4">
        <f>IF(Table1[[#This Row],[hotwaterheating]]="yes", 1, 0)</f>
        <v>0</v>
      </c>
      <c r="Z4">
        <f>IF(Table1[[#This Row],[airconditioning]]="yes", 1, 0)</f>
        <v>0</v>
      </c>
      <c r="AA4">
        <v>2</v>
      </c>
      <c r="AB4">
        <f>IF(Table1[[#This Row],[prefarea]]= "yes", 1, 0)</f>
        <v>1</v>
      </c>
      <c r="AC4" s="1">
        <v>12250000</v>
      </c>
    </row>
    <row r="5" spans="1:29">
      <c r="A5">
        <v>7500</v>
      </c>
      <c r="B5" t="s">
        <v>15</v>
      </c>
      <c r="C5">
        <v>4</v>
      </c>
      <c r="D5">
        <v>2</v>
      </c>
      <c r="E5">
        <v>2</v>
      </c>
      <c r="F5" t="s">
        <v>13</v>
      </c>
      <c r="G5" t="s">
        <v>14</v>
      </c>
      <c r="H5" t="s">
        <v>13</v>
      </c>
      <c r="I5" t="s">
        <v>14</v>
      </c>
      <c r="J5" t="s">
        <v>13</v>
      </c>
      <c r="K5">
        <v>3</v>
      </c>
      <c r="L5" t="s">
        <v>13</v>
      </c>
      <c r="M5" s="1">
        <v>12215000</v>
      </c>
      <c r="P5">
        <v>7500</v>
      </c>
      <c r="Q5">
        <f>IF(Table1[[#This Row],[furnishingstatus]]="furnished", 1, 0)</f>
        <v>1</v>
      </c>
      <c r="R5">
        <f>IF(Table1[[#This Row],[furnishingstatus]]="semi-furnished", 1, 0)</f>
        <v>0</v>
      </c>
      <c r="S5">
        <v>4</v>
      </c>
      <c r="T5">
        <v>2</v>
      </c>
      <c r="U5">
        <v>2</v>
      </c>
      <c r="V5">
        <f>IF(Table1[[#This Row],[mainroad]] = "yes", 1, 0)</f>
        <v>1</v>
      </c>
      <c r="W5">
        <f>IF(Table1[[#This Row],[guestroom]]= "yes", 1, 0)</f>
        <v>0</v>
      </c>
      <c r="X5">
        <f>IF(Table1[[#This Row],[basement]]="yes", 1, 0)</f>
        <v>1</v>
      </c>
      <c r="Y5">
        <f>IF(Table1[[#This Row],[hotwaterheating]]="yes", 1, 0)</f>
        <v>0</v>
      </c>
      <c r="Z5">
        <f>IF(Table1[[#This Row],[airconditioning]]="yes", 1, 0)</f>
        <v>1</v>
      </c>
      <c r="AA5">
        <v>3</v>
      </c>
      <c r="AB5">
        <f>IF(Table1[[#This Row],[prefarea]]= "yes", 1, 0)</f>
        <v>1</v>
      </c>
      <c r="AC5" s="1">
        <v>12215000</v>
      </c>
    </row>
    <row r="6" spans="1:29">
      <c r="A6">
        <v>7420</v>
      </c>
      <c r="B6" t="s">
        <v>15</v>
      </c>
      <c r="C6">
        <v>4</v>
      </c>
      <c r="D6">
        <v>1</v>
      </c>
      <c r="E6">
        <v>2</v>
      </c>
      <c r="F6" t="s">
        <v>13</v>
      </c>
      <c r="G6" t="s">
        <v>13</v>
      </c>
      <c r="H6" t="s">
        <v>13</v>
      </c>
      <c r="I6" t="s">
        <v>33</v>
      </c>
      <c r="J6" t="s">
        <v>13</v>
      </c>
      <c r="K6">
        <v>2</v>
      </c>
      <c r="L6" t="s">
        <v>14</v>
      </c>
      <c r="M6" s="1">
        <v>11410000</v>
      </c>
      <c r="P6">
        <v>7420</v>
      </c>
      <c r="Q6">
        <f>IF(Table1[[#This Row],[furnishingstatus]]="furnished", 1, 0)</f>
        <v>1</v>
      </c>
      <c r="R6">
        <f>IF(Table1[[#This Row],[furnishingstatus]]="semi-furnished", 1, 0)</f>
        <v>0</v>
      </c>
      <c r="S6">
        <v>4</v>
      </c>
      <c r="T6">
        <v>1</v>
      </c>
      <c r="U6">
        <v>2</v>
      </c>
      <c r="V6">
        <f>IF(Table1[[#This Row],[mainroad]] = "yes", 1, 0)</f>
        <v>1</v>
      </c>
      <c r="W6">
        <f>IF(Table1[[#This Row],[guestroom]]= "yes", 1, 0)</f>
        <v>1</v>
      </c>
      <c r="X6">
        <f>IF(Table1[[#This Row],[basement]]="yes", 1, 0)</f>
        <v>1</v>
      </c>
      <c r="Y6">
        <f>IF(Table1[[#This Row],[hotwaterheating]]="yes", 1, 0)</f>
        <v>0</v>
      </c>
      <c r="Z6">
        <f>IF(Table1[[#This Row],[airconditioning]]="yes", 1, 0)</f>
        <v>1</v>
      </c>
      <c r="AA6">
        <v>2</v>
      </c>
      <c r="AB6">
        <f>IF(Table1[[#This Row],[prefarea]]= "yes", 1, 0)</f>
        <v>0</v>
      </c>
      <c r="AC6" s="1">
        <v>11410000</v>
      </c>
    </row>
    <row r="7" spans="1:29">
      <c r="A7">
        <v>7500</v>
      </c>
      <c r="B7" t="s">
        <v>16</v>
      </c>
      <c r="C7">
        <v>3</v>
      </c>
      <c r="D7">
        <v>3</v>
      </c>
      <c r="E7">
        <v>1</v>
      </c>
      <c r="F7" t="s">
        <v>13</v>
      </c>
      <c r="G7" t="s">
        <v>14</v>
      </c>
      <c r="H7" t="s">
        <v>13</v>
      </c>
      <c r="I7" t="s">
        <v>14</v>
      </c>
      <c r="J7" t="s">
        <v>13</v>
      </c>
      <c r="K7">
        <v>2</v>
      </c>
      <c r="L7" t="s">
        <v>13</v>
      </c>
      <c r="M7" s="1">
        <v>10850000</v>
      </c>
      <c r="P7">
        <v>7500</v>
      </c>
      <c r="Q7">
        <f>IF(Table1[[#This Row],[furnishingstatus]]="furnished", 1, 0)</f>
        <v>0</v>
      </c>
      <c r="R7">
        <f>IF(Table1[[#This Row],[furnishingstatus]]="semi-furnished", 1, 0)</f>
        <v>1</v>
      </c>
      <c r="S7">
        <v>3</v>
      </c>
      <c r="T7">
        <v>3</v>
      </c>
      <c r="U7">
        <v>1</v>
      </c>
      <c r="V7">
        <f>IF(Table1[[#This Row],[mainroad]] = "yes", 1, 0)</f>
        <v>1</v>
      </c>
      <c r="W7">
        <f>IF(Table1[[#This Row],[guestroom]]= "yes", 1, 0)</f>
        <v>0</v>
      </c>
      <c r="X7">
        <f>IF(Table1[[#This Row],[basement]]="yes", 1, 0)</f>
        <v>1</v>
      </c>
      <c r="Y7">
        <f>IF(Table1[[#This Row],[hotwaterheating]]="yes", 1, 0)</f>
        <v>0</v>
      </c>
      <c r="Z7">
        <f>IF(Table1[[#This Row],[airconditioning]]="yes", 1, 0)</f>
        <v>1</v>
      </c>
      <c r="AA7">
        <v>2</v>
      </c>
      <c r="AB7">
        <f>IF(Table1[[#This Row],[prefarea]]= "yes", 1, 0)</f>
        <v>1</v>
      </c>
      <c r="AC7" s="1">
        <v>10850000</v>
      </c>
    </row>
    <row r="8" spans="1:29">
      <c r="A8">
        <v>8580</v>
      </c>
      <c r="B8" t="s">
        <v>16</v>
      </c>
      <c r="C8">
        <v>4</v>
      </c>
      <c r="D8">
        <v>3</v>
      </c>
      <c r="E8">
        <v>4</v>
      </c>
      <c r="F8" t="s">
        <v>13</v>
      </c>
      <c r="G8" t="s">
        <v>14</v>
      </c>
      <c r="H8" t="s">
        <v>14</v>
      </c>
      <c r="I8" t="s">
        <v>14</v>
      </c>
      <c r="J8" t="s">
        <v>13</v>
      </c>
      <c r="K8">
        <v>2</v>
      </c>
      <c r="L8" t="s">
        <v>13</v>
      </c>
      <c r="M8" s="1">
        <v>10150000</v>
      </c>
      <c r="P8">
        <v>8580</v>
      </c>
      <c r="Q8">
        <f>IF(Table1[[#This Row],[furnishingstatus]]="furnished", 1, 0)</f>
        <v>0</v>
      </c>
      <c r="R8">
        <f>IF(Table1[[#This Row],[furnishingstatus]]="semi-furnished", 1, 0)</f>
        <v>1</v>
      </c>
      <c r="S8">
        <v>4</v>
      </c>
      <c r="T8">
        <v>3</v>
      </c>
      <c r="U8">
        <v>4</v>
      </c>
      <c r="V8">
        <f>IF(Table1[[#This Row],[mainroad]] = "yes", 1, 0)</f>
        <v>1</v>
      </c>
      <c r="W8">
        <f>IF(Table1[[#This Row],[guestroom]]= "yes", 1, 0)</f>
        <v>0</v>
      </c>
      <c r="X8">
        <f>IF(Table1[[#This Row],[basement]]="yes", 1, 0)</f>
        <v>0</v>
      </c>
      <c r="Y8">
        <f>IF(Table1[[#This Row],[hotwaterheating]]="yes", 1, 0)</f>
        <v>0</v>
      </c>
      <c r="Z8">
        <f>IF(Table1[[#This Row],[airconditioning]]="yes", 1, 0)</f>
        <v>1</v>
      </c>
      <c r="AA8">
        <v>2</v>
      </c>
      <c r="AB8">
        <f>IF(Table1[[#This Row],[prefarea]]= "yes", 1, 0)</f>
        <v>1</v>
      </c>
      <c r="AC8" s="1">
        <v>10150000</v>
      </c>
    </row>
    <row r="9" spans="1:29">
      <c r="A9">
        <v>16200</v>
      </c>
      <c r="B9" t="s">
        <v>17</v>
      </c>
      <c r="C9">
        <v>5</v>
      </c>
      <c r="D9">
        <v>3</v>
      </c>
      <c r="E9">
        <v>2</v>
      </c>
      <c r="F9" t="s">
        <v>13</v>
      </c>
      <c r="G9" t="s">
        <v>14</v>
      </c>
      <c r="H9" t="s">
        <v>14</v>
      </c>
      <c r="I9" t="s">
        <v>14</v>
      </c>
      <c r="J9" t="s">
        <v>14</v>
      </c>
      <c r="K9">
        <v>0</v>
      </c>
      <c r="L9" t="s">
        <v>14</v>
      </c>
      <c r="M9" s="1">
        <v>10150000</v>
      </c>
      <c r="P9">
        <v>16200</v>
      </c>
      <c r="Q9">
        <f>IF(Table1[[#This Row],[furnishingstatus]]="furnished", 1, 0)</f>
        <v>0</v>
      </c>
      <c r="R9">
        <f>IF(Table1[[#This Row],[furnishingstatus]]="semi-furnished", 1, 0)</f>
        <v>0</v>
      </c>
      <c r="S9">
        <v>5</v>
      </c>
      <c r="T9">
        <v>3</v>
      </c>
      <c r="U9">
        <v>2</v>
      </c>
      <c r="V9">
        <f>IF(Table1[[#This Row],[mainroad]] = "yes", 1, 0)</f>
        <v>1</v>
      </c>
      <c r="W9">
        <f>IF(Table1[[#This Row],[guestroom]]= "yes", 1, 0)</f>
        <v>0</v>
      </c>
      <c r="X9">
        <f>IF(Table1[[#This Row],[basement]]="yes", 1, 0)</f>
        <v>0</v>
      </c>
      <c r="Y9">
        <f>IF(Table1[[#This Row],[hotwaterheating]]="yes", 1, 0)</f>
        <v>0</v>
      </c>
      <c r="Z9">
        <f>IF(Table1[[#This Row],[airconditioning]]="yes", 1, 0)</f>
        <v>0</v>
      </c>
      <c r="AA9">
        <v>0</v>
      </c>
      <c r="AB9">
        <f>IF(Table1[[#This Row],[prefarea]]= "yes", 1, 0)</f>
        <v>0</v>
      </c>
      <c r="AC9" s="1">
        <v>10150000</v>
      </c>
    </row>
    <row r="10" spans="1:29">
      <c r="A10">
        <v>8100</v>
      </c>
      <c r="B10" t="s">
        <v>15</v>
      </c>
      <c r="C10">
        <v>4</v>
      </c>
      <c r="D10">
        <v>1</v>
      </c>
      <c r="E10">
        <v>2</v>
      </c>
      <c r="F10" t="s">
        <v>13</v>
      </c>
      <c r="G10" t="s">
        <v>13</v>
      </c>
      <c r="H10" t="s">
        <v>13</v>
      </c>
      <c r="I10" t="s">
        <v>14</v>
      </c>
      <c r="J10" t="s">
        <v>13</v>
      </c>
      <c r="K10">
        <v>2</v>
      </c>
      <c r="L10" t="s">
        <v>13</v>
      </c>
      <c r="M10" s="1">
        <v>9870000</v>
      </c>
      <c r="P10">
        <v>8100</v>
      </c>
      <c r="Q10">
        <f>IF(Table1[[#This Row],[furnishingstatus]]="furnished", 1, 0)</f>
        <v>1</v>
      </c>
      <c r="R10">
        <f>IF(Table1[[#This Row],[furnishingstatus]]="semi-furnished", 1, 0)</f>
        <v>0</v>
      </c>
      <c r="S10">
        <v>4</v>
      </c>
      <c r="T10">
        <v>1</v>
      </c>
      <c r="U10">
        <v>2</v>
      </c>
      <c r="V10">
        <f>IF(Table1[[#This Row],[mainroad]] = "yes", 1, 0)</f>
        <v>1</v>
      </c>
      <c r="W10">
        <f>IF(Table1[[#This Row],[guestroom]]= "yes", 1, 0)</f>
        <v>1</v>
      </c>
      <c r="X10">
        <f>IF(Table1[[#This Row],[basement]]="yes", 1, 0)</f>
        <v>1</v>
      </c>
      <c r="Y10">
        <f>IF(Table1[[#This Row],[hotwaterheating]]="yes", 1, 0)</f>
        <v>0</v>
      </c>
      <c r="Z10">
        <f>IF(Table1[[#This Row],[airconditioning]]="yes", 1, 0)</f>
        <v>1</v>
      </c>
      <c r="AA10">
        <v>2</v>
      </c>
      <c r="AB10">
        <f>IF(Table1[[#This Row],[prefarea]]= "yes", 1, 0)</f>
        <v>1</v>
      </c>
      <c r="AC10" s="1">
        <v>9870000</v>
      </c>
    </row>
    <row r="11" spans="1:29">
      <c r="A11">
        <v>5750</v>
      </c>
      <c r="B11" t="s">
        <v>17</v>
      </c>
      <c r="C11">
        <v>3</v>
      </c>
      <c r="D11">
        <v>2</v>
      </c>
      <c r="E11">
        <v>4</v>
      </c>
      <c r="F11" t="s">
        <v>13</v>
      </c>
      <c r="G11" t="s">
        <v>13</v>
      </c>
      <c r="H11" t="s">
        <v>14</v>
      </c>
      <c r="I11" t="s">
        <v>14</v>
      </c>
      <c r="J11" t="s">
        <v>13</v>
      </c>
      <c r="K11">
        <v>1</v>
      </c>
      <c r="L11" t="s">
        <v>13</v>
      </c>
      <c r="M11" s="1">
        <v>9800000</v>
      </c>
      <c r="P11">
        <v>5750</v>
      </c>
      <c r="Q11">
        <f>IF(Table1[[#This Row],[furnishingstatus]]="furnished", 1, 0)</f>
        <v>0</v>
      </c>
      <c r="R11">
        <f>IF(Table1[[#This Row],[furnishingstatus]]="semi-furnished", 1, 0)</f>
        <v>0</v>
      </c>
      <c r="S11">
        <v>3</v>
      </c>
      <c r="T11">
        <v>2</v>
      </c>
      <c r="U11">
        <v>4</v>
      </c>
      <c r="V11">
        <f>IF(Table1[[#This Row],[mainroad]] = "yes", 1, 0)</f>
        <v>1</v>
      </c>
      <c r="W11">
        <f>IF(Table1[[#This Row],[guestroom]]= "yes", 1, 0)</f>
        <v>1</v>
      </c>
      <c r="X11">
        <f>IF(Table1[[#This Row],[basement]]="yes", 1, 0)</f>
        <v>0</v>
      </c>
      <c r="Y11">
        <f>IF(Table1[[#This Row],[hotwaterheating]]="yes", 1, 0)</f>
        <v>0</v>
      </c>
      <c r="Z11">
        <f>IF(Table1[[#This Row],[airconditioning]]="yes", 1, 0)</f>
        <v>1</v>
      </c>
      <c r="AA11">
        <v>1</v>
      </c>
      <c r="AB11">
        <f>IF(Table1[[#This Row],[prefarea]]= "yes", 1, 0)</f>
        <v>1</v>
      </c>
      <c r="AC11" s="1">
        <v>9800000</v>
      </c>
    </row>
    <row r="12" spans="1:29">
      <c r="A12">
        <v>13200</v>
      </c>
      <c r="B12" t="s">
        <v>15</v>
      </c>
      <c r="C12">
        <v>3</v>
      </c>
      <c r="D12">
        <v>1</v>
      </c>
      <c r="E12">
        <v>2</v>
      </c>
      <c r="F12" t="s">
        <v>13</v>
      </c>
      <c r="G12" t="s">
        <v>14</v>
      </c>
      <c r="H12" t="s">
        <v>13</v>
      </c>
      <c r="I12" t="s">
        <v>14</v>
      </c>
      <c r="J12" t="s">
        <v>13</v>
      </c>
      <c r="K12">
        <v>2</v>
      </c>
      <c r="L12" t="s">
        <v>13</v>
      </c>
      <c r="M12" s="1">
        <v>9800000</v>
      </c>
      <c r="P12">
        <v>13200</v>
      </c>
      <c r="Q12">
        <f>IF(Table1[[#This Row],[furnishingstatus]]="furnished", 1, 0)</f>
        <v>1</v>
      </c>
      <c r="R12">
        <f>IF(Table1[[#This Row],[furnishingstatus]]="semi-furnished", 1, 0)</f>
        <v>0</v>
      </c>
      <c r="S12">
        <v>3</v>
      </c>
      <c r="T12">
        <v>1</v>
      </c>
      <c r="U12">
        <v>2</v>
      </c>
      <c r="V12">
        <f>IF(Table1[[#This Row],[mainroad]] = "yes", 1, 0)</f>
        <v>1</v>
      </c>
      <c r="W12">
        <f>IF(Table1[[#This Row],[guestroom]]= "yes", 1, 0)</f>
        <v>0</v>
      </c>
      <c r="X12">
        <f>IF(Table1[[#This Row],[basement]]="yes", 1, 0)</f>
        <v>1</v>
      </c>
      <c r="Y12">
        <f>IF(Table1[[#This Row],[hotwaterheating]]="yes", 1, 0)</f>
        <v>0</v>
      </c>
      <c r="Z12">
        <f>IF(Table1[[#This Row],[airconditioning]]="yes", 1, 0)</f>
        <v>1</v>
      </c>
      <c r="AA12">
        <v>2</v>
      </c>
      <c r="AB12">
        <f>IF(Table1[[#This Row],[prefarea]]= "yes", 1, 0)</f>
        <v>1</v>
      </c>
      <c r="AC12" s="1">
        <v>9800000</v>
      </c>
    </row>
    <row r="13" spans="1:29">
      <c r="A13">
        <v>6000</v>
      </c>
      <c r="B13" t="s">
        <v>16</v>
      </c>
      <c r="C13">
        <v>4</v>
      </c>
      <c r="D13">
        <v>3</v>
      </c>
      <c r="E13">
        <v>2</v>
      </c>
      <c r="F13" t="s">
        <v>13</v>
      </c>
      <c r="G13" t="s">
        <v>13</v>
      </c>
      <c r="H13" t="s">
        <v>13</v>
      </c>
      <c r="I13" t="s">
        <v>13</v>
      </c>
      <c r="J13" t="s">
        <v>14</v>
      </c>
      <c r="K13">
        <v>2</v>
      </c>
      <c r="L13" t="s">
        <v>14</v>
      </c>
      <c r="M13" s="1">
        <v>9681000</v>
      </c>
      <c r="P13">
        <v>6000</v>
      </c>
      <c r="Q13">
        <f>IF(Table1[[#This Row],[furnishingstatus]]="furnished", 1, 0)</f>
        <v>0</v>
      </c>
      <c r="R13">
        <f>IF(Table1[[#This Row],[furnishingstatus]]="semi-furnished", 1, 0)</f>
        <v>1</v>
      </c>
      <c r="S13">
        <v>4</v>
      </c>
      <c r="T13">
        <v>3</v>
      </c>
      <c r="U13">
        <v>2</v>
      </c>
      <c r="V13">
        <f>IF(Table1[[#This Row],[mainroad]] = "yes", 1, 0)</f>
        <v>1</v>
      </c>
      <c r="W13">
        <f>IF(Table1[[#This Row],[guestroom]]= "yes", 1, 0)</f>
        <v>1</v>
      </c>
      <c r="X13">
        <f>IF(Table1[[#This Row],[basement]]="yes", 1, 0)</f>
        <v>1</v>
      </c>
      <c r="Y13">
        <f>IF(Table1[[#This Row],[hotwaterheating]]="yes", 1, 0)</f>
        <v>1</v>
      </c>
      <c r="Z13">
        <f>IF(Table1[[#This Row],[airconditioning]]="yes", 1, 0)</f>
        <v>0</v>
      </c>
      <c r="AA13">
        <v>2</v>
      </c>
      <c r="AB13">
        <f>IF(Table1[[#This Row],[prefarea]]= "yes", 1, 0)</f>
        <v>0</v>
      </c>
      <c r="AC13" s="1">
        <v>9681000</v>
      </c>
    </row>
    <row r="14" spans="1:29">
      <c r="A14">
        <v>6550</v>
      </c>
      <c r="B14" t="s">
        <v>16</v>
      </c>
      <c r="C14">
        <v>4</v>
      </c>
      <c r="D14">
        <v>2</v>
      </c>
      <c r="E14">
        <v>2</v>
      </c>
      <c r="F14" t="s">
        <v>13</v>
      </c>
      <c r="G14" t="s">
        <v>14</v>
      </c>
      <c r="H14" t="s">
        <v>14</v>
      </c>
      <c r="I14" t="s">
        <v>14</v>
      </c>
      <c r="J14" t="s">
        <v>13</v>
      </c>
      <c r="K14">
        <v>1</v>
      </c>
      <c r="L14" t="s">
        <v>13</v>
      </c>
      <c r="M14" s="1">
        <v>9310000</v>
      </c>
      <c r="P14">
        <v>6550</v>
      </c>
      <c r="Q14">
        <f>IF(Table1[[#This Row],[furnishingstatus]]="furnished", 1, 0)</f>
        <v>0</v>
      </c>
      <c r="R14">
        <f>IF(Table1[[#This Row],[furnishingstatus]]="semi-furnished", 1, 0)</f>
        <v>1</v>
      </c>
      <c r="S14">
        <v>4</v>
      </c>
      <c r="T14">
        <v>2</v>
      </c>
      <c r="U14">
        <v>2</v>
      </c>
      <c r="V14">
        <f>IF(Table1[[#This Row],[mainroad]] = "yes", 1, 0)</f>
        <v>1</v>
      </c>
      <c r="W14">
        <f>IF(Table1[[#This Row],[guestroom]]= "yes", 1, 0)</f>
        <v>0</v>
      </c>
      <c r="X14">
        <f>IF(Table1[[#This Row],[basement]]="yes", 1, 0)</f>
        <v>0</v>
      </c>
      <c r="Y14">
        <f>IF(Table1[[#This Row],[hotwaterheating]]="yes", 1, 0)</f>
        <v>0</v>
      </c>
      <c r="Z14">
        <f>IF(Table1[[#This Row],[airconditioning]]="yes", 1, 0)</f>
        <v>1</v>
      </c>
      <c r="AA14">
        <v>1</v>
      </c>
      <c r="AB14">
        <f>IF(Table1[[#This Row],[prefarea]]= "yes", 1, 0)</f>
        <v>1</v>
      </c>
      <c r="AC14" s="1">
        <v>9310000</v>
      </c>
    </row>
    <row r="15" spans="1:29">
      <c r="A15">
        <v>3500</v>
      </c>
      <c r="B15" t="s">
        <v>15</v>
      </c>
      <c r="C15">
        <v>4</v>
      </c>
      <c r="D15">
        <v>2</v>
      </c>
      <c r="E15">
        <v>2</v>
      </c>
      <c r="F15" t="s">
        <v>13</v>
      </c>
      <c r="G15" t="s">
        <v>14</v>
      </c>
      <c r="H15" t="s">
        <v>14</v>
      </c>
      <c r="I15" t="s">
        <v>13</v>
      </c>
      <c r="J15" t="s">
        <v>14</v>
      </c>
      <c r="K15">
        <v>2</v>
      </c>
      <c r="L15" t="s">
        <v>14</v>
      </c>
      <c r="M15" s="1">
        <v>9240000</v>
      </c>
      <c r="P15">
        <v>3500</v>
      </c>
      <c r="Q15">
        <f>IF(Table1[[#This Row],[furnishingstatus]]="furnished", 1, 0)</f>
        <v>1</v>
      </c>
      <c r="R15">
        <f>IF(Table1[[#This Row],[furnishingstatus]]="semi-furnished", 1, 0)</f>
        <v>0</v>
      </c>
      <c r="S15">
        <v>4</v>
      </c>
      <c r="T15">
        <v>2</v>
      </c>
      <c r="U15">
        <v>2</v>
      </c>
      <c r="V15">
        <f>IF(Table1[[#This Row],[mainroad]] = "yes", 1, 0)</f>
        <v>1</v>
      </c>
      <c r="W15">
        <f>IF(Table1[[#This Row],[guestroom]]= "yes", 1, 0)</f>
        <v>0</v>
      </c>
      <c r="X15">
        <f>IF(Table1[[#This Row],[basement]]="yes", 1, 0)</f>
        <v>0</v>
      </c>
      <c r="Y15">
        <f>IF(Table1[[#This Row],[hotwaterheating]]="yes", 1, 0)</f>
        <v>1</v>
      </c>
      <c r="Z15">
        <f>IF(Table1[[#This Row],[airconditioning]]="yes", 1, 0)</f>
        <v>0</v>
      </c>
      <c r="AA15">
        <v>2</v>
      </c>
      <c r="AB15">
        <f>IF(Table1[[#This Row],[prefarea]]= "yes", 1, 0)</f>
        <v>0</v>
      </c>
      <c r="AC15" s="1">
        <v>9240000</v>
      </c>
    </row>
    <row r="16" spans="1:29">
      <c r="A16">
        <v>7800</v>
      </c>
      <c r="B16" t="s">
        <v>16</v>
      </c>
      <c r="C16">
        <v>3</v>
      </c>
      <c r="D16">
        <v>2</v>
      </c>
      <c r="E16">
        <v>2</v>
      </c>
      <c r="F16" t="s">
        <v>13</v>
      </c>
      <c r="G16" t="s">
        <v>14</v>
      </c>
      <c r="H16" t="s">
        <v>14</v>
      </c>
      <c r="I16" t="s">
        <v>14</v>
      </c>
      <c r="J16" t="s">
        <v>14</v>
      </c>
      <c r="K16">
        <v>0</v>
      </c>
      <c r="L16" t="s">
        <v>13</v>
      </c>
      <c r="M16" s="1">
        <v>9240000</v>
      </c>
      <c r="P16">
        <v>7800</v>
      </c>
      <c r="Q16">
        <f>IF(Table1[[#This Row],[furnishingstatus]]="furnished", 1, 0)</f>
        <v>0</v>
      </c>
      <c r="R16">
        <f>IF(Table1[[#This Row],[furnishingstatus]]="semi-furnished", 1, 0)</f>
        <v>1</v>
      </c>
      <c r="S16">
        <v>3</v>
      </c>
      <c r="T16">
        <v>2</v>
      </c>
      <c r="U16">
        <v>2</v>
      </c>
      <c r="V16">
        <f>IF(Table1[[#This Row],[mainroad]] = "yes", 1, 0)</f>
        <v>1</v>
      </c>
      <c r="W16">
        <f>IF(Table1[[#This Row],[guestroom]]= "yes", 1, 0)</f>
        <v>0</v>
      </c>
      <c r="X16">
        <f>IF(Table1[[#This Row],[basement]]="yes", 1, 0)</f>
        <v>0</v>
      </c>
      <c r="Y16">
        <f>IF(Table1[[#This Row],[hotwaterheating]]="yes", 1, 0)</f>
        <v>0</v>
      </c>
      <c r="Z16">
        <f>IF(Table1[[#This Row],[airconditioning]]="yes", 1, 0)</f>
        <v>0</v>
      </c>
      <c r="AA16">
        <v>0</v>
      </c>
      <c r="AB16">
        <f>IF(Table1[[#This Row],[prefarea]]= "yes", 1, 0)</f>
        <v>1</v>
      </c>
      <c r="AC16" s="1">
        <v>9240000</v>
      </c>
    </row>
    <row r="17" spans="1:29">
      <c r="A17">
        <v>6000</v>
      </c>
      <c r="B17" t="s">
        <v>16</v>
      </c>
      <c r="C17">
        <v>4</v>
      </c>
      <c r="D17">
        <v>1</v>
      </c>
      <c r="E17">
        <v>2</v>
      </c>
      <c r="F17" t="s">
        <v>13</v>
      </c>
      <c r="G17" t="s">
        <v>14</v>
      </c>
      <c r="H17" t="s">
        <v>13</v>
      </c>
      <c r="I17" t="s">
        <v>14</v>
      </c>
      <c r="J17" t="s">
        <v>14</v>
      </c>
      <c r="K17">
        <v>2</v>
      </c>
      <c r="L17" t="s">
        <v>14</v>
      </c>
      <c r="M17" s="1">
        <v>9100000</v>
      </c>
      <c r="P17">
        <v>6000</v>
      </c>
      <c r="Q17">
        <f>IF(Table1[[#This Row],[furnishingstatus]]="furnished", 1, 0)</f>
        <v>0</v>
      </c>
      <c r="R17">
        <f>IF(Table1[[#This Row],[furnishingstatus]]="semi-furnished", 1, 0)</f>
        <v>1</v>
      </c>
      <c r="S17">
        <v>4</v>
      </c>
      <c r="T17">
        <v>1</v>
      </c>
      <c r="U17">
        <v>2</v>
      </c>
      <c r="V17">
        <f>IF(Table1[[#This Row],[mainroad]] = "yes", 1, 0)</f>
        <v>1</v>
      </c>
      <c r="W17">
        <f>IF(Table1[[#This Row],[guestroom]]= "yes", 1, 0)</f>
        <v>0</v>
      </c>
      <c r="X17">
        <f>IF(Table1[[#This Row],[basement]]="yes", 1, 0)</f>
        <v>1</v>
      </c>
      <c r="Y17">
        <f>IF(Table1[[#This Row],[hotwaterheating]]="yes", 1, 0)</f>
        <v>0</v>
      </c>
      <c r="Z17">
        <f>IF(Table1[[#This Row],[airconditioning]]="yes", 1, 0)</f>
        <v>0</v>
      </c>
      <c r="AA17">
        <v>2</v>
      </c>
      <c r="AB17">
        <f>IF(Table1[[#This Row],[prefarea]]= "yes", 1, 0)</f>
        <v>0</v>
      </c>
      <c r="AC17" s="1">
        <v>9100000</v>
      </c>
    </row>
    <row r="18" spans="1:29">
      <c r="A18">
        <v>6600</v>
      </c>
      <c r="B18" t="s">
        <v>17</v>
      </c>
      <c r="C18">
        <v>4</v>
      </c>
      <c r="D18">
        <v>2</v>
      </c>
      <c r="E18">
        <v>2</v>
      </c>
      <c r="F18" t="s">
        <v>13</v>
      </c>
      <c r="G18" t="s">
        <v>13</v>
      </c>
      <c r="H18" t="s">
        <v>13</v>
      </c>
      <c r="I18" t="s">
        <v>14</v>
      </c>
      <c r="J18" t="s">
        <v>13</v>
      </c>
      <c r="K18">
        <v>1</v>
      </c>
      <c r="L18" t="s">
        <v>13</v>
      </c>
      <c r="M18" s="1">
        <v>9100000</v>
      </c>
      <c r="P18">
        <v>6600</v>
      </c>
      <c r="Q18">
        <f>IF(Table1[[#This Row],[furnishingstatus]]="furnished", 1, 0)</f>
        <v>0</v>
      </c>
      <c r="R18">
        <f>IF(Table1[[#This Row],[furnishingstatus]]="semi-furnished", 1, 0)</f>
        <v>0</v>
      </c>
      <c r="S18">
        <v>4</v>
      </c>
      <c r="T18">
        <v>2</v>
      </c>
      <c r="U18">
        <v>2</v>
      </c>
      <c r="V18">
        <f>IF(Table1[[#This Row],[mainroad]] = "yes", 1, 0)</f>
        <v>1</v>
      </c>
      <c r="W18">
        <f>IF(Table1[[#This Row],[guestroom]]= "yes", 1, 0)</f>
        <v>1</v>
      </c>
      <c r="X18">
        <f>IF(Table1[[#This Row],[basement]]="yes", 1, 0)</f>
        <v>1</v>
      </c>
      <c r="Y18">
        <f>IF(Table1[[#This Row],[hotwaterheating]]="yes", 1, 0)</f>
        <v>0</v>
      </c>
      <c r="Z18">
        <f>IF(Table1[[#This Row],[airconditioning]]="yes", 1, 0)</f>
        <v>1</v>
      </c>
      <c r="AA18">
        <v>1</v>
      </c>
      <c r="AB18">
        <f>IF(Table1[[#This Row],[prefarea]]= "yes", 1, 0)</f>
        <v>1</v>
      </c>
      <c r="AC18" s="1">
        <v>9100000</v>
      </c>
    </row>
    <row r="19" spans="1:29">
      <c r="A19">
        <v>8500</v>
      </c>
      <c r="B19" t="s">
        <v>15</v>
      </c>
      <c r="C19">
        <v>3</v>
      </c>
      <c r="D19">
        <v>2</v>
      </c>
      <c r="E19">
        <v>4</v>
      </c>
      <c r="F19" t="s">
        <v>13</v>
      </c>
      <c r="G19" t="s">
        <v>14</v>
      </c>
      <c r="H19" t="s">
        <v>14</v>
      </c>
      <c r="I19" t="s">
        <v>14</v>
      </c>
      <c r="J19" t="s">
        <v>13</v>
      </c>
      <c r="K19">
        <v>2</v>
      </c>
      <c r="L19" t="s">
        <v>14</v>
      </c>
      <c r="M19" s="1">
        <v>8960000</v>
      </c>
      <c r="P19">
        <v>8500</v>
      </c>
      <c r="Q19">
        <f>IF(Table1[[#This Row],[furnishingstatus]]="furnished", 1, 0)</f>
        <v>1</v>
      </c>
      <c r="R19">
        <f>IF(Table1[[#This Row],[furnishingstatus]]="semi-furnished", 1, 0)</f>
        <v>0</v>
      </c>
      <c r="S19">
        <v>3</v>
      </c>
      <c r="T19">
        <v>2</v>
      </c>
      <c r="U19">
        <v>4</v>
      </c>
      <c r="V19">
        <f>IF(Table1[[#This Row],[mainroad]] = "yes", 1, 0)</f>
        <v>1</v>
      </c>
      <c r="W19">
        <f>IF(Table1[[#This Row],[guestroom]]= "yes", 1, 0)</f>
        <v>0</v>
      </c>
      <c r="X19">
        <f>IF(Table1[[#This Row],[basement]]="yes", 1, 0)</f>
        <v>0</v>
      </c>
      <c r="Y19">
        <f>IF(Table1[[#This Row],[hotwaterheating]]="yes", 1, 0)</f>
        <v>0</v>
      </c>
      <c r="Z19">
        <f>IF(Table1[[#This Row],[airconditioning]]="yes", 1, 0)</f>
        <v>1</v>
      </c>
      <c r="AA19">
        <v>2</v>
      </c>
      <c r="AB19">
        <f>IF(Table1[[#This Row],[prefarea]]= "yes", 1, 0)</f>
        <v>0</v>
      </c>
      <c r="AC19" s="1">
        <v>8960000</v>
      </c>
    </row>
    <row r="20" spans="1:29">
      <c r="A20">
        <v>4600</v>
      </c>
      <c r="B20" t="s">
        <v>15</v>
      </c>
      <c r="C20">
        <v>3</v>
      </c>
      <c r="D20">
        <v>2</v>
      </c>
      <c r="E20">
        <v>2</v>
      </c>
      <c r="F20" t="s">
        <v>13</v>
      </c>
      <c r="G20" t="s">
        <v>13</v>
      </c>
      <c r="H20" t="s">
        <v>14</v>
      </c>
      <c r="I20" t="s">
        <v>14</v>
      </c>
      <c r="J20" t="s">
        <v>13</v>
      </c>
      <c r="K20">
        <v>2</v>
      </c>
      <c r="L20" t="s">
        <v>14</v>
      </c>
      <c r="M20" s="1">
        <v>8890000</v>
      </c>
      <c r="P20">
        <v>4600</v>
      </c>
      <c r="Q20">
        <f>IF(Table1[[#This Row],[furnishingstatus]]="furnished", 1, 0)</f>
        <v>1</v>
      </c>
      <c r="R20">
        <f>IF(Table1[[#This Row],[furnishingstatus]]="semi-furnished", 1, 0)</f>
        <v>0</v>
      </c>
      <c r="S20">
        <v>3</v>
      </c>
      <c r="T20">
        <v>2</v>
      </c>
      <c r="U20">
        <v>2</v>
      </c>
      <c r="V20">
        <f>IF(Table1[[#This Row],[mainroad]] = "yes", 1, 0)</f>
        <v>1</v>
      </c>
      <c r="W20">
        <f>IF(Table1[[#This Row],[guestroom]]= "yes", 1, 0)</f>
        <v>1</v>
      </c>
      <c r="X20">
        <f>IF(Table1[[#This Row],[basement]]="yes", 1, 0)</f>
        <v>0</v>
      </c>
      <c r="Y20">
        <f>IF(Table1[[#This Row],[hotwaterheating]]="yes", 1, 0)</f>
        <v>0</v>
      </c>
      <c r="Z20">
        <f>IF(Table1[[#This Row],[airconditioning]]="yes", 1, 0)</f>
        <v>1</v>
      </c>
      <c r="AA20">
        <v>2</v>
      </c>
      <c r="AB20">
        <f>IF(Table1[[#This Row],[prefarea]]= "yes", 1, 0)</f>
        <v>0</v>
      </c>
      <c r="AC20" s="1">
        <v>8890000</v>
      </c>
    </row>
    <row r="21" spans="1:29">
      <c r="A21">
        <v>6420</v>
      </c>
      <c r="B21" t="s">
        <v>16</v>
      </c>
      <c r="C21">
        <v>3</v>
      </c>
      <c r="D21">
        <v>2</v>
      </c>
      <c r="E21">
        <v>2</v>
      </c>
      <c r="F21" t="s">
        <v>13</v>
      </c>
      <c r="G21" t="s">
        <v>14</v>
      </c>
      <c r="H21" t="s">
        <v>14</v>
      </c>
      <c r="I21" t="s">
        <v>14</v>
      </c>
      <c r="J21" t="s">
        <v>13</v>
      </c>
      <c r="K21">
        <v>1</v>
      </c>
      <c r="L21" t="s">
        <v>13</v>
      </c>
      <c r="M21" s="1">
        <v>8855000</v>
      </c>
      <c r="P21">
        <v>6420</v>
      </c>
      <c r="Q21">
        <f>IF(Table1[[#This Row],[furnishingstatus]]="furnished", 1, 0)</f>
        <v>0</v>
      </c>
      <c r="R21">
        <f>IF(Table1[[#This Row],[furnishingstatus]]="semi-furnished", 1, 0)</f>
        <v>1</v>
      </c>
      <c r="S21">
        <v>3</v>
      </c>
      <c r="T21">
        <v>2</v>
      </c>
      <c r="U21">
        <v>2</v>
      </c>
      <c r="V21">
        <f>IF(Table1[[#This Row],[mainroad]] = "yes", 1, 0)</f>
        <v>1</v>
      </c>
      <c r="W21">
        <f>IF(Table1[[#This Row],[guestroom]]= "yes", 1, 0)</f>
        <v>0</v>
      </c>
      <c r="X21">
        <f>IF(Table1[[#This Row],[basement]]="yes", 1, 0)</f>
        <v>0</v>
      </c>
      <c r="Y21">
        <f>IF(Table1[[#This Row],[hotwaterheating]]="yes", 1, 0)</f>
        <v>0</v>
      </c>
      <c r="Z21">
        <f>IF(Table1[[#This Row],[airconditioning]]="yes", 1, 0)</f>
        <v>1</v>
      </c>
      <c r="AA21">
        <v>1</v>
      </c>
      <c r="AB21">
        <f>IF(Table1[[#This Row],[prefarea]]= "yes", 1, 0)</f>
        <v>1</v>
      </c>
      <c r="AC21" s="1">
        <v>8855000</v>
      </c>
    </row>
    <row r="22" spans="1:29">
      <c r="A22">
        <v>4320</v>
      </c>
      <c r="B22" t="s">
        <v>16</v>
      </c>
      <c r="C22">
        <v>3</v>
      </c>
      <c r="D22">
        <v>1</v>
      </c>
      <c r="E22">
        <v>2</v>
      </c>
      <c r="F22" t="s">
        <v>13</v>
      </c>
      <c r="G22" t="s">
        <v>14</v>
      </c>
      <c r="H22" t="s">
        <v>13</v>
      </c>
      <c r="I22" t="s">
        <v>13</v>
      </c>
      <c r="J22" t="s">
        <v>14</v>
      </c>
      <c r="K22">
        <v>2</v>
      </c>
      <c r="L22" t="s">
        <v>14</v>
      </c>
      <c r="M22" s="1">
        <v>8750000</v>
      </c>
      <c r="P22">
        <v>4320</v>
      </c>
      <c r="Q22">
        <f>IF(Table1[[#This Row],[furnishingstatus]]="furnished", 1, 0)</f>
        <v>0</v>
      </c>
      <c r="R22">
        <f>IF(Table1[[#This Row],[furnishingstatus]]="semi-furnished", 1, 0)</f>
        <v>1</v>
      </c>
      <c r="S22">
        <v>3</v>
      </c>
      <c r="T22">
        <v>1</v>
      </c>
      <c r="U22">
        <v>2</v>
      </c>
      <c r="V22">
        <f>IF(Table1[[#This Row],[mainroad]] = "yes", 1, 0)</f>
        <v>1</v>
      </c>
      <c r="W22">
        <f>IF(Table1[[#This Row],[guestroom]]= "yes", 1, 0)</f>
        <v>0</v>
      </c>
      <c r="X22">
        <f>IF(Table1[[#This Row],[basement]]="yes", 1, 0)</f>
        <v>1</v>
      </c>
      <c r="Y22">
        <f>IF(Table1[[#This Row],[hotwaterheating]]="yes", 1, 0)</f>
        <v>1</v>
      </c>
      <c r="Z22">
        <f>IF(Table1[[#This Row],[airconditioning]]="yes", 1, 0)</f>
        <v>0</v>
      </c>
      <c r="AA22">
        <v>2</v>
      </c>
      <c r="AB22">
        <f>IF(Table1[[#This Row],[prefarea]]= "yes", 1, 0)</f>
        <v>0</v>
      </c>
      <c r="AC22" s="1">
        <v>8750000</v>
      </c>
    </row>
    <row r="23" spans="1:29">
      <c r="A23">
        <v>7155</v>
      </c>
      <c r="B23" t="s">
        <v>17</v>
      </c>
      <c r="C23">
        <v>3</v>
      </c>
      <c r="D23">
        <v>2</v>
      </c>
      <c r="E23">
        <v>1</v>
      </c>
      <c r="F23" t="s">
        <v>13</v>
      </c>
      <c r="G23" t="s">
        <v>13</v>
      </c>
      <c r="H23" t="s">
        <v>13</v>
      </c>
      <c r="I23" t="s">
        <v>14</v>
      </c>
      <c r="J23" t="s">
        <v>13</v>
      </c>
      <c r="K23">
        <v>2</v>
      </c>
      <c r="L23" t="s">
        <v>14</v>
      </c>
      <c r="M23" s="1">
        <v>8680000</v>
      </c>
      <c r="P23">
        <v>7155</v>
      </c>
      <c r="Q23">
        <f>IF(Table1[[#This Row],[furnishingstatus]]="furnished", 1, 0)</f>
        <v>0</v>
      </c>
      <c r="R23">
        <f>IF(Table1[[#This Row],[furnishingstatus]]="semi-furnished", 1, 0)</f>
        <v>0</v>
      </c>
      <c r="S23">
        <v>3</v>
      </c>
      <c r="T23">
        <v>2</v>
      </c>
      <c r="U23">
        <v>1</v>
      </c>
      <c r="V23">
        <f>IF(Table1[[#This Row],[mainroad]] = "yes", 1, 0)</f>
        <v>1</v>
      </c>
      <c r="W23">
        <f>IF(Table1[[#This Row],[guestroom]]= "yes", 1, 0)</f>
        <v>1</v>
      </c>
      <c r="X23">
        <f>IF(Table1[[#This Row],[basement]]="yes", 1, 0)</f>
        <v>1</v>
      </c>
      <c r="Y23">
        <f>IF(Table1[[#This Row],[hotwaterheating]]="yes", 1, 0)</f>
        <v>0</v>
      </c>
      <c r="Z23">
        <f>IF(Table1[[#This Row],[airconditioning]]="yes", 1, 0)</f>
        <v>1</v>
      </c>
      <c r="AA23">
        <v>2</v>
      </c>
      <c r="AB23">
        <f>IF(Table1[[#This Row],[prefarea]]= "yes", 1, 0)</f>
        <v>0</v>
      </c>
      <c r="AC23" s="1">
        <v>8680000</v>
      </c>
    </row>
    <row r="24" spans="1:29">
      <c r="A24">
        <v>8050</v>
      </c>
      <c r="B24" t="s">
        <v>15</v>
      </c>
      <c r="C24">
        <v>3</v>
      </c>
      <c r="D24">
        <v>1</v>
      </c>
      <c r="E24">
        <v>1</v>
      </c>
      <c r="F24" t="s">
        <v>13</v>
      </c>
      <c r="G24" t="s">
        <v>13</v>
      </c>
      <c r="H24" t="s">
        <v>13</v>
      </c>
      <c r="I24" t="s">
        <v>14</v>
      </c>
      <c r="J24" t="s">
        <v>13</v>
      </c>
      <c r="K24">
        <v>1</v>
      </c>
      <c r="L24" t="s">
        <v>14</v>
      </c>
      <c r="M24" s="1">
        <v>8645000</v>
      </c>
      <c r="P24">
        <v>8050</v>
      </c>
      <c r="Q24">
        <f>IF(Table1[[#This Row],[furnishingstatus]]="furnished", 1, 0)</f>
        <v>1</v>
      </c>
      <c r="R24">
        <f>IF(Table1[[#This Row],[furnishingstatus]]="semi-furnished", 1, 0)</f>
        <v>0</v>
      </c>
      <c r="S24">
        <v>3</v>
      </c>
      <c r="T24">
        <v>1</v>
      </c>
      <c r="U24">
        <v>1</v>
      </c>
      <c r="V24">
        <f>IF(Table1[[#This Row],[mainroad]] = "yes", 1, 0)</f>
        <v>1</v>
      </c>
      <c r="W24">
        <f>IF(Table1[[#This Row],[guestroom]]= "yes", 1, 0)</f>
        <v>1</v>
      </c>
      <c r="X24">
        <f>IF(Table1[[#This Row],[basement]]="yes", 1, 0)</f>
        <v>1</v>
      </c>
      <c r="Y24">
        <f>IF(Table1[[#This Row],[hotwaterheating]]="yes", 1, 0)</f>
        <v>0</v>
      </c>
      <c r="Z24">
        <f>IF(Table1[[#This Row],[airconditioning]]="yes", 1, 0)</f>
        <v>1</v>
      </c>
      <c r="AA24">
        <v>1</v>
      </c>
      <c r="AB24">
        <f>IF(Table1[[#This Row],[prefarea]]= "yes", 1, 0)</f>
        <v>0</v>
      </c>
      <c r="AC24" s="1">
        <v>8645000</v>
      </c>
    </row>
    <row r="25" spans="1:29">
      <c r="A25">
        <v>4560</v>
      </c>
      <c r="B25" t="s">
        <v>15</v>
      </c>
      <c r="C25">
        <v>3</v>
      </c>
      <c r="D25">
        <v>2</v>
      </c>
      <c r="E25">
        <v>2</v>
      </c>
      <c r="F25" t="s">
        <v>13</v>
      </c>
      <c r="G25" t="s">
        <v>13</v>
      </c>
      <c r="H25" t="s">
        <v>13</v>
      </c>
      <c r="I25" t="s">
        <v>14</v>
      </c>
      <c r="J25" t="s">
        <v>13</v>
      </c>
      <c r="K25">
        <v>1</v>
      </c>
      <c r="L25" t="s">
        <v>14</v>
      </c>
      <c r="M25" s="1">
        <v>8645000</v>
      </c>
      <c r="P25">
        <v>4560</v>
      </c>
      <c r="Q25">
        <f>IF(Table1[[#This Row],[furnishingstatus]]="furnished", 1, 0)</f>
        <v>1</v>
      </c>
      <c r="R25">
        <f>IF(Table1[[#This Row],[furnishingstatus]]="semi-furnished", 1, 0)</f>
        <v>0</v>
      </c>
      <c r="S25">
        <v>3</v>
      </c>
      <c r="T25">
        <v>2</v>
      </c>
      <c r="U25">
        <v>2</v>
      </c>
      <c r="V25">
        <f>IF(Table1[[#This Row],[mainroad]] = "yes", 1, 0)</f>
        <v>1</v>
      </c>
      <c r="W25">
        <f>IF(Table1[[#This Row],[guestroom]]= "yes", 1, 0)</f>
        <v>1</v>
      </c>
      <c r="X25">
        <f>IF(Table1[[#This Row],[basement]]="yes", 1, 0)</f>
        <v>1</v>
      </c>
      <c r="Y25">
        <f>IF(Table1[[#This Row],[hotwaterheating]]="yes", 1, 0)</f>
        <v>0</v>
      </c>
      <c r="Z25">
        <f>IF(Table1[[#This Row],[airconditioning]]="yes", 1, 0)</f>
        <v>1</v>
      </c>
      <c r="AA25">
        <v>1</v>
      </c>
      <c r="AB25">
        <f>IF(Table1[[#This Row],[prefarea]]= "yes", 1, 0)</f>
        <v>0</v>
      </c>
      <c r="AC25" s="1">
        <v>8645000</v>
      </c>
    </row>
    <row r="26" spans="1:29">
      <c r="A26">
        <v>8800</v>
      </c>
      <c r="B26" t="s">
        <v>15</v>
      </c>
      <c r="C26">
        <v>3</v>
      </c>
      <c r="D26">
        <v>2</v>
      </c>
      <c r="E26">
        <v>2</v>
      </c>
      <c r="F26" t="s">
        <v>13</v>
      </c>
      <c r="G26" t="s">
        <v>14</v>
      </c>
      <c r="H26" t="s">
        <v>14</v>
      </c>
      <c r="I26" t="s">
        <v>14</v>
      </c>
      <c r="J26" t="s">
        <v>13</v>
      </c>
      <c r="K26">
        <v>2</v>
      </c>
      <c r="L26" t="s">
        <v>14</v>
      </c>
      <c r="M26" s="1">
        <v>8575000</v>
      </c>
      <c r="P26">
        <v>8800</v>
      </c>
      <c r="Q26">
        <f>IF(Table1[[#This Row],[furnishingstatus]]="furnished", 1, 0)</f>
        <v>1</v>
      </c>
      <c r="R26">
        <f>IF(Table1[[#This Row],[furnishingstatus]]="semi-furnished", 1, 0)</f>
        <v>0</v>
      </c>
      <c r="S26">
        <v>3</v>
      </c>
      <c r="T26">
        <v>2</v>
      </c>
      <c r="U26">
        <v>2</v>
      </c>
      <c r="V26">
        <f>IF(Table1[[#This Row],[mainroad]] = "yes", 1, 0)</f>
        <v>1</v>
      </c>
      <c r="W26">
        <f>IF(Table1[[#This Row],[guestroom]]= "yes", 1, 0)</f>
        <v>0</v>
      </c>
      <c r="X26">
        <f>IF(Table1[[#This Row],[basement]]="yes", 1, 0)</f>
        <v>0</v>
      </c>
      <c r="Y26">
        <f>IF(Table1[[#This Row],[hotwaterheating]]="yes", 1, 0)</f>
        <v>0</v>
      </c>
      <c r="Z26">
        <f>IF(Table1[[#This Row],[airconditioning]]="yes", 1, 0)</f>
        <v>1</v>
      </c>
      <c r="AA26">
        <v>2</v>
      </c>
      <c r="AB26">
        <f>IF(Table1[[#This Row],[prefarea]]= "yes", 1, 0)</f>
        <v>0</v>
      </c>
      <c r="AC26" s="1">
        <v>8575000</v>
      </c>
    </row>
    <row r="27" spans="1:29">
      <c r="A27">
        <v>6540</v>
      </c>
      <c r="B27" t="s">
        <v>15</v>
      </c>
      <c r="C27">
        <v>4</v>
      </c>
      <c r="D27">
        <v>2</v>
      </c>
      <c r="E27">
        <v>2</v>
      </c>
      <c r="F27" t="s">
        <v>13</v>
      </c>
      <c r="G27" t="s">
        <v>13</v>
      </c>
      <c r="H27" t="s">
        <v>13</v>
      </c>
      <c r="I27" t="s">
        <v>14</v>
      </c>
      <c r="J27" t="s">
        <v>13</v>
      </c>
      <c r="K27">
        <v>2</v>
      </c>
      <c r="L27" t="s">
        <v>13</v>
      </c>
      <c r="M27" s="1">
        <v>8540000</v>
      </c>
      <c r="P27">
        <v>6540</v>
      </c>
      <c r="Q27">
        <f>IF(Table1[[#This Row],[furnishingstatus]]="furnished", 1, 0)</f>
        <v>1</v>
      </c>
      <c r="R27">
        <f>IF(Table1[[#This Row],[furnishingstatus]]="semi-furnished", 1, 0)</f>
        <v>0</v>
      </c>
      <c r="S27">
        <v>4</v>
      </c>
      <c r="T27">
        <v>2</v>
      </c>
      <c r="U27">
        <v>2</v>
      </c>
      <c r="V27">
        <f>IF(Table1[[#This Row],[mainroad]] = "yes", 1, 0)</f>
        <v>1</v>
      </c>
      <c r="W27">
        <f>IF(Table1[[#This Row],[guestroom]]= "yes", 1, 0)</f>
        <v>1</v>
      </c>
      <c r="X27">
        <f>IF(Table1[[#This Row],[basement]]="yes", 1, 0)</f>
        <v>1</v>
      </c>
      <c r="Y27">
        <f>IF(Table1[[#This Row],[hotwaterheating]]="yes", 1, 0)</f>
        <v>0</v>
      </c>
      <c r="Z27">
        <f>IF(Table1[[#This Row],[airconditioning]]="yes", 1, 0)</f>
        <v>1</v>
      </c>
      <c r="AA27">
        <v>2</v>
      </c>
      <c r="AB27">
        <f>IF(Table1[[#This Row],[prefarea]]= "yes", 1, 0)</f>
        <v>1</v>
      </c>
      <c r="AC27" s="1">
        <v>8540000</v>
      </c>
    </row>
    <row r="28" spans="1:29">
      <c r="A28">
        <v>6000</v>
      </c>
      <c r="B28" t="s">
        <v>16</v>
      </c>
      <c r="C28">
        <v>3</v>
      </c>
      <c r="D28">
        <v>2</v>
      </c>
      <c r="E28">
        <v>4</v>
      </c>
      <c r="F28" t="s">
        <v>13</v>
      </c>
      <c r="G28" t="s">
        <v>13</v>
      </c>
      <c r="H28" t="s">
        <v>13</v>
      </c>
      <c r="I28" t="s">
        <v>14</v>
      </c>
      <c r="J28" t="s">
        <v>13</v>
      </c>
      <c r="K28">
        <v>0</v>
      </c>
      <c r="L28" t="s">
        <v>13</v>
      </c>
      <c r="M28" s="1">
        <v>8463000</v>
      </c>
      <c r="P28">
        <v>6000</v>
      </c>
      <c r="Q28">
        <f>IF(Table1[[#This Row],[furnishingstatus]]="furnished", 1, 0)</f>
        <v>0</v>
      </c>
      <c r="R28">
        <f>IF(Table1[[#This Row],[furnishingstatus]]="semi-furnished", 1, 0)</f>
        <v>1</v>
      </c>
      <c r="S28">
        <v>3</v>
      </c>
      <c r="T28">
        <v>2</v>
      </c>
      <c r="U28">
        <v>4</v>
      </c>
      <c r="V28">
        <f>IF(Table1[[#This Row],[mainroad]] = "yes", 1, 0)</f>
        <v>1</v>
      </c>
      <c r="W28">
        <f>IF(Table1[[#This Row],[guestroom]]= "yes", 1, 0)</f>
        <v>1</v>
      </c>
      <c r="X28">
        <f>IF(Table1[[#This Row],[basement]]="yes", 1, 0)</f>
        <v>1</v>
      </c>
      <c r="Y28">
        <f>IF(Table1[[#This Row],[hotwaterheating]]="yes", 1, 0)</f>
        <v>0</v>
      </c>
      <c r="Z28">
        <f>IF(Table1[[#This Row],[airconditioning]]="yes", 1, 0)</f>
        <v>1</v>
      </c>
      <c r="AA28">
        <v>0</v>
      </c>
      <c r="AB28">
        <f>IF(Table1[[#This Row],[prefarea]]= "yes", 1, 0)</f>
        <v>1</v>
      </c>
      <c r="AC28" s="1">
        <v>8463000</v>
      </c>
    </row>
    <row r="29" spans="1:29">
      <c r="A29">
        <v>8875</v>
      </c>
      <c r="B29" t="s">
        <v>16</v>
      </c>
      <c r="C29">
        <v>3</v>
      </c>
      <c r="D29">
        <v>1</v>
      </c>
      <c r="E29">
        <v>1</v>
      </c>
      <c r="F29" t="s">
        <v>13</v>
      </c>
      <c r="G29" t="s">
        <v>14</v>
      </c>
      <c r="H29" t="s">
        <v>14</v>
      </c>
      <c r="I29" t="s">
        <v>14</v>
      </c>
      <c r="J29" t="s">
        <v>14</v>
      </c>
      <c r="K29">
        <v>1</v>
      </c>
      <c r="L29" t="s">
        <v>14</v>
      </c>
      <c r="M29" s="1">
        <v>8400000</v>
      </c>
      <c r="P29">
        <v>8875</v>
      </c>
      <c r="Q29">
        <f>IF(Table1[[#This Row],[furnishingstatus]]="furnished", 1, 0)</f>
        <v>0</v>
      </c>
      <c r="R29">
        <f>IF(Table1[[#This Row],[furnishingstatus]]="semi-furnished", 1, 0)</f>
        <v>1</v>
      </c>
      <c r="S29">
        <v>3</v>
      </c>
      <c r="T29">
        <v>1</v>
      </c>
      <c r="U29">
        <v>1</v>
      </c>
      <c r="V29">
        <f>IF(Table1[[#This Row],[mainroad]] = "yes", 1, 0)</f>
        <v>1</v>
      </c>
      <c r="W29">
        <f>IF(Table1[[#This Row],[guestroom]]= "yes", 1, 0)</f>
        <v>0</v>
      </c>
      <c r="X29">
        <f>IF(Table1[[#This Row],[basement]]="yes", 1, 0)</f>
        <v>0</v>
      </c>
      <c r="Y29">
        <f>IF(Table1[[#This Row],[hotwaterheating]]="yes", 1, 0)</f>
        <v>0</v>
      </c>
      <c r="Z29">
        <f>IF(Table1[[#This Row],[airconditioning]]="yes", 1, 0)</f>
        <v>0</v>
      </c>
      <c r="AA29">
        <v>1</v>
      </c>
      <c r="AB29">
        <f>IF(Table1[[#This Row],[prefarea]]= "yes", 1, 0)</f>
        <v>0</v>
      </c>
      <c r="AC29" s="1">
        <v>8400000</v>
      </c>
    </row>
    <row r="30" spans="1:29">
      <c r="A30">
        <v>7950</v>
      </c>
      <c r="B30" t="s">
        <v>17</v>
      </c>
      <c r="C30">
        <v>5</v>
      </c>
      <c r="D30">
        <v>2</v>
      </c>
      <c r="E30">
        <v>2</v>
      </c>
      <c r="F30" t="s">
        <v>13</v>
      </c>
      <c r="G30" t="s">
        <v>14</v>
      </c>
      <c r="H30" t="s">
        <v>13</v>
      </c>
      <c r="I30" t="s">
        <v>13</v>
      </c>
      <c r="J30" t="s">
        <v>14</v>
      </c>
      <c r="K30">
        <v>2</v>
      </c>
      <c r="L30" t="s">
        <v>14</v>
      </c>
      <c r="M30" s="1">
        <v>8400000</v>
      </c>
      <c r="P30">
        <v>7950</v>
      </c>
      <c r="Q30">
        <f>IF(Table1[[#This Row],[furnishingstatus]]="furnished", 1, 0)</f>
        <v>0</v>
      </c>
      <c r="R30">
        <f>IF(Table1[[#This Row],[furnishingstatus]]="semi-furnished", 1, 0)</f>
        <v>0</v>
      </c>
      <c r="S30">
        <v>5</v>
      </c>
      <c r="T30">
        <v>2</v>
      </c>
      <c r="U30">
        <v>2</v>
      </c>
      <c r="V30">
        <f>IF(Table1[[#This Row],[mainroad]] = "yes", 1, 0)</f>
        <v>1</v>
      </c>
      <c r="W30">
        <f>IF(Table1[[#This Row],[guestroom]]= "yes", 1, 0)</f>
        <v>0</v>
      </c>
      <c r="X30">
        <f>IF(Table1[[#This Row],[basement]]="yes", 1, 0)</f>
        <v>1</v>
      </c>
      <c r="Y30">
        <f>IF(Table1[[#This Row],[hotwaterheating]]="yes", 1, 0)</f>
        <v>1</v>
      </c>
      <c r="Z30">
        <f>IF(Table1[[#This Row],[airconditioning]]="yes", 1, 0)</f>
        <v>0</v>
      </c>
      <c r="AA30">
        <v>2</v>
      </c>
      <c r="AB30">
        <f>IF(Table1[[#This Row],[prefarea]]= "yes", 1, 0)</f>
        <v>0</v>
      </c>
      <c r="AC30" s="1">
        <v>8400000</v>
      </c>
    </row>
    <row r="31" spans="1:29">
      <c r="A31">
        <v>5500</v>
      </c>
      <c r="B31" t="s">
        <v>16</v>
      </c>
      <c r="C31">
        <v>4</v>
      </c>
      <c r="D31">
        <v>2</v>
      </c>
      <c r="E31">
        <v>2</v>
      </c>
      <c r="F31" t="s">
        <v>13</v>
      </c>
      <c r="G31" t="s">
        <v>14</v>
      </c>
      <c r="H31" t="s">
        <v>13</v>
      </c>
      <c r="I31" t="s">
        <v>14</v>
      </c>
      <c r="J31" t="s">
        <v>13</v>
      </c>
      <c r="K31">
        <v>1</v>
      </c>
      <c r="L31" t="s">
        <v>13</v>
      </c>
      <c r="M31" s="1">
        <v>8400000</v>
      </c>
      <c r="P31">
        <v>5500</v>
      </c>
      <c r="Q31">
        <f>IF(Table1[[#This Row],[furnishingstatus]]="furnished", 1, 0)</f>
        <v>0</v>
      </c>
      <c r="R31">
        <f>IF(Table1[[#This Row],[furnishingstatus]]="semi-furnished", 1, 0)</f>
        <v>1</v>
      </c>
      <c r="S31">
        <v>4</v>
      </c>
      <c r="T31">
        <v>2</v>
      </c>
      <c r="U31">
        <v>2</v>
      </c>
      <c r="V31">
        <f>IF(Table1[[#This Row],[mainroad]] = "yes", 1, 0)</f>
        <v>1</v>
      </c>
      <c r="W31">
        <f>IF(Table1[[#This Row],[guestroom]]= "yes", 1, 0)</f>
        <v>0</v>
      </c>
      <c r="X31">
        <f>IF(Table1[[#This Row],[basement]]="yes", 1, 0)</f>
        <v>1</v>
      </c>
      <c r="Y31">
        <f>IF(Table1[[#This Row],[hotwaterheating]]="yes", 1, 0)</f>
        <v>0</v>
      </c>
      <c r="Z31">
        <f>IF(Table1[[#This Row],[airconditioning]]="yes", 1, 0)</f>
        <v>1</v>
      </c>
      <c r="AA31">
        <v>1</v>
      </c>
      <c r="AB31">
        <f>IF(Table1[[#This Row],[prefarea]]= "yes", 1, 0)</f>
        <v>1</v>
      </c>
      <c r="AC31" s="1">
        <v>8400000</v>
      </c>
    </row>
    <row r="32" spans="1:29">
      <c r="A32">
        <v>7475</v>
      </c>
      <c r="B32" t="s">
        <v>17</v>
      </c>
      <c r="C32">
        <v>3</v>
      </c>
      <c r="D32">
        <v>2</v>
      </c>
      <c r="E32">
        <v>4</v>
      </c>
      <c r="F32" t="s">
        <v>13</v>
      </c>
      <c r="G32" t="s">
        <v>14</v>
      </c>
      <c r="H32" t="s">
        <v>14</v>
      </c>
      <c r="I32" t="s">
        <v>14</v>
      </c>
      <c r="J32" t="s">
        <v>13</v>
      </c>
      <c r="K32">
        <v>2</v>
      </c>
      <c r="L32" t="s">
        <v>14</v>
      </c>
      <c r="M32" s="1">
        <v>8400000</v>
      </c>
      <c r="P32">
        <v>7475</v>
      </c>
      <c r="Q32">
        <f>IF(Table1[[#This Row],[furnishingstatus]]="furnished", 1, 0)</f>
        <v>0</v>
      </c>
      <c r="R32">
        <f>IF(Table1[[#This Row],[furnishingstatus]]="semi-furnished", 1, 0)</f>
        <v>0</v>
      </c>
      <c r="S32">
        <v>3</v>
      </c>
      <c r="T32">
        <v>2</v>
      </c>
      <c r="U32">
        <v>4</v>
      </c>
      <c r="V32">
        <f>IF(Table1[[#This Row],[mainroad]] = "yes", 1, 0)</f>
        <v>1</v>
      </c>
      <c r="W32">
        <f>IF(Table1[[#This Row],[guestroom]]= "yes", 1, 0)</f>
        <v>0</v>
      </c>
      <c r="X32">
        <f>IF(Table1[[#This Row],[basement]]="yes", 1, 0)</f>
        <v>0</v>
      </c>
      <c r="Y32">
        <f>IF(Table1[[#This Row],[hotwaterheating]]="yes", 1, 0)</f>
        <v>0</v>
      </c>
      <c r="Z32">
        <f>IF(Table1[[#This Row],[airconditioning]]="yes", 1, 0)</f>
        <v>1</v>
      </c>
      <c r="AA32">
        <v>2</v>
      </c>
      <c r="AB32">
        <f>IF(Table1[[#This Row],[prefarea]]= "yes", 1, 0)</f>
        <v>0</v>
      </c>
      <c r="AC32" s="1">
        <v>8400000</v>
      </c>
    </row>
    <row r="33" spans="1:29">
      <c r="A33">
        <v>7000</v>
      </c>
      <c r="B33" t="s">
        <v>16</v>
      </c>
      <c r="C33">
        <v>3</v>
      </c>
      <c r="D33">
        <v>1</v>
      </c>
      <c r="E33">
        <v>4</v>
      </c>
      <c r="F33" t="s">
        <v>13</v>
      </c>
      <c r="G33" t="s">
        <v>14</v>
      </c>
      <c r="H33" t="s">
        <v>14</v>
      </c>
      <c r="I33" t="s">
        <v>14</v>
      </c>
      <c r="J33" t="s">
        <v>13</v>
      </c>
      <c r="K33">
        <v>2</v>
      </c>
      <c r="L33" t="s">
        <v>14</v>
      </c>
      <c r="M33" s="1">
        <v>8400000</v>
      </c>
      <c r="P33">
        <v>7000</v>
      </c>
      <c r="Q33">
        <f>IF(Table1[[#This Row],[furnishingstatus]]="furnished", 1, 0)</f>
        <v>0</v>
      </c>
      <c r="R33">
        <f>IF(Table1[[#This Row],[furnishingstatus]]="semi-furnished", 1, 0)</f>
        <v>1</v>
      </c>
      <c r="S33">
        <v>3</v>
      </c>
      <c r="T33">
        <v>1</v>
      </c>
      <c r="U33">
        <v>4</v>
      </c>
      <c r="V33">
        <f>IF(Table1[[#This Row],[mainroad]] = "yes", 1, 0)</f>
        <v>1</v>
      </c>
      <c r="W33">
        <f>IF(Table1[[#This Row],[guestroom]]= "yes", 1, 0)</f>
        <v>0</v>
      </c>
      <c r="X33">
        <f>IF(Table1[[#This Row],[basement]]="yes", 1, 0)</f>
        <v>0</v>
      </c>
      <c r="Y33">
        <f>IF(Table1[[#This Row],[hotwaterheating]]="yes", 1, 0)</f>
        <v>0</v>
      </c>
      <c r="Z33">
        <f>IF(Table1[[#This Row],[airconditioning]]="yes", 1, 0)</f>
        <v>1</v>
      </c>
      <c r="AA33">
        <v>2</v>
      </c>
      <c r="AB33">
        <f>IF(Table1[[#This Row],[prefarea]]= "yes", 1, 0)</f>
        <v>0</v>
      </c>
      <c r="AC33" s="1">
        <v>8400000</v>
      </c>
    </row>
    <row r="34" spans="1:29">
      <c r="A34">
        <v>4880</v>
      </c>
      <c r="B34" t="s">
        <v>15</v>
      </c>
      <c r="C34">
        <v>4</v>
      </c>
      <c r="D34">
        <v>2</v>
      </c>
      <c r="E34">
        <v>2</v>
      </c>
      <c r="F34" t="s">
        <v>13</v>
      </c>
      <c r="G34" t="s">
        <v>14</v>
      </c>
      <c r="H34" t="s">
        <v>14</v>
      </c>
      <c r="I34" t="s">
        <v>14</v>
      </c>
      <c r="J34" t="s">
        <v>13</v>
      </c>
      <c r="K34">
        <v>1</v>
      </c>
      <c r="L34" t="s">
        <v>13</v>
      </c>
      <c r="M34" s="1">
        <v>8295000</v>
      </c>
      <c r="P34">
        <v>4880</v>
      </c>
      <c r="Q34">
        <f>IF(Table1[[#This Row],[furnishingstatus]]="furnished", 1, 0)</f>
        <v>1</v>
      </c>
      <c r="R34">
        <f>IF(Table1[[#This Row],[furnishingstatus]]="semi-furnished", 1, 0)</f>
        <v>0</v>
      </c>
      <c r="S34">
        <v>4</v>
      </c>
      <c r="T34">
        <v>2</v>
      </c>
      <c r="U34">
        <v>2</v>
      </c>
      <c r="V34">
        <f>IF(Table1[[#This Row],[mainroad]] = "yes", 1, 0)</f>
        <v>1</v>
      </c>
      <c r="W34">
        <f>IF(Table1[[#This Row],[guestroom]]= "yes", 1, 0)</f>
        <v>0</v>
      </c>
      <c r="X34">
        <f>IF(Table1[[#This Row],[basement]]="yes", 1, 0)</f>
        <v>0</v>
      </c>
      <c r="Y34">
        <f>IF(Table1[[#This Row],[hotwaterheating]]="yes", 1, 0)</f>
        <v>0</v>
      </c>
      <c r="Z34">
        <f>IF(Table1[[#This Row],[airconditioning]]="yes", 1, 0)</f>
        <v>1</v>
      </c>
      <c r="AA34">
        <v>1</v>
      </c>
      <c r="AB34">
        <f>IF(Table1[[#This Row],[prefarea]]= "yes", 1, 0)</f>
        <v>1</v>
      </c>
      <c r="AC34" s="1">
        <v>8295000</v>
      </c>
    </row>
    <row r="35" spans="1:29">
      <c r="A35">
        <v>5960</v>
      </c>
      <c r="B35" t="s">
        <v>17</v>
      </c>
      <c r="C35">
        <v>3</v>
      </c>
      <c r="D35">
        <v>3</v>
      </c>
      <c r="E35">
        <v>2</v>
      </c>
      <c r="F35" t="s">
        <v>13</v>
      </c>
      <c r="G35" t="s">
        <v>13</v>
      </c>
      <c r="H35" t="s">
        <v>13</v>
      </c>
      <c r="I35" t="s">
        <v>14</v>
      </c>
      <c r="J35" t="s">
        <v>14</v>
      </c>
      <c r="K35">
        <v>1</v>
      </c>
      <c r="L35" t="s">
        <v>14</v>
      </c>
      <c r="M35" s="1">
        <v>8190000</v>
      </c>
      <c r="P35">
        <v>5960</v>
      </c>
      <c r="Q35">
        <f>IF(Table1[[#This Row],[furnishingstatus]]="furnished", 1, 0)</f>
        <v>0</v>
      </c>
      <c r="R35">
        <f>IF(Table1[[#This Row],[furnishingstatus]]="semi-furnished", 1, 0)</f>
        <v>0</v>
      </c>
      <c r="S35">
        <v>3</v>
      </c>
      <c r="T35">
        <v>3</v>
      </c>
      <c r="U35">
        <v>2</v>
      </c>
      <c r="V35">
        <f>IF(Table1[[#This Row],[mainroad]] = "yes", 1, 0)</f>
        <v>1</v>
      </c>
      <c r="W35">
        <f>IF(Table1[[#This Row],[guestroom]]= "yes", 1, 0)</f>
        <v>1</v>
      </c>
      <c r="X35">
        <f>IF(Table1[[#This Row],[basement]]="yes", 1, 0)</f>
        <v>1</v>
      </c>
      <c r="Y35">
        <f>IF(Table1[[#This Row],[hotwaterheating]]="yes", 1, 0)</f>
        <v>0</v>
      </c>
      <c r="Z35">
        <f>IF(Table1[[#This Row],[airconditioning]]="yes", 1, 0)</f>
        <v>0</v>
      </c>
      <c r="AA35">
        <v>1</v>
      </c>
      <c r="AB35">
        <f>IF(Table1[[#This Row],[prefarea]]= "yes", 1, 0)</f>
        <v>0</v>
      </c>
      <c r="AC35" s="1">
        <v>8190000</v>
      </c>
    </row>
    <row r="36" spans="1:29">
      <c r="A36">
        <v>6840</v>
      </c>
      <c r="B36" t="s">
        <v>15</v>
      </c>
      <c r="C36">
        <v>5</v>
      </c>
      <c r="D36">
        <v>1</v>
      </c>
      <c r="E36">
        <v>2</v>
      </c>
      <c r="F36" t="s">
        <v>13</v>
      </c>
      <c r="G36" t="s">
        <v>13</v>
      </c>
      <c r="H36" t="s">
        <v>13</v>
      </c>
      <c r="I36" t="s">
        <v>14</v>
      </c>
      <c r="J36" t="s">
        <v>13</v>
      </c>
      <c r="K36">
        <v>1</v>
      </c>
      <c r="L36" t="s">
        <v>14</v>
      </c>
      <c r="M36" s="1">
        <v>8120000</v>
      </c>
      <c r="P36">
        <v>6840</v>
      </c>
      <c r="Q36">
        <f>IF(Table1[[#This Row],[furnishingstatus]]="furnished", 1, 0)</f>
        <v>1</v>
      </c>
      <c r="R36">
        <f>IF(Table1[[#This Row],[furnishingstatus]]="semi-furnished", 1, 0)</f>
        <v>0</v>
      </c>
      <c r="S36">
        <v>5</v>
      </c>
      <c r="T36">
        <v>1</v>
      </c>
      <c r="U36">
        <v>2</v>
      </c>
      <c r="V36">
        <f>IF(Table1[[#This Row],[mainroad]] = "yes", 1, 0)</f>
        <v>1</v>
      </c>
      <c r="W36">
        <f>IF(Table1[[#This Row],[guestroom]]= "yes", 1, 0)</f>
        <v>1</v>
      </c>
      <c r="X36">
        <f>IF(Table1[[#This Row],[basement]]="yes", 1, 0)</f>
        <v>1</v>
      </c>
      <c r="Y36">
        <f>IF(Table1[[#This Row],[hotwaterheating]]="yes", 1, 0)</f>
        <v>0</v>
      </c>
      <c r="Z36">
        <f>IF(Table1[[#This Row],[airconditioning]]="yes", 1, 0)</f>
        <v>1</v>
      </c>
      <c r="AA36">
        <v>1</v>
      </c>
      <c r="AB36">
        <f>IF(Table1[[#This Row],[prefarea]]= "yes", 1, 0)</f>
        <v>0</v>
      </c>
      <c r="AC36" s="1">
        <v>8120000</v>
      </c>
    </row>
    <row r="37" spans="1:29">
      <c r="A37">
        <v>7000</v>
      </c>
      <c r="B37" t="s">
        <v>15</v>
      </c>
      <c r="C37">
        <v>3</v>
      </c>
      <c r="D37">
        <v>2</v>
      </c>
      <c r="E37">
        <v>4</v>
      </c>
      <c r="F37" t="s">
        <v>13</v>
      </c>
      <c r="G37" t="s">
        <v>14</v>
      </c>
      <c r="H37" t="s">
        <v>14</v>
      </c>
      <c r="I37" t="s">
        <v>14</v>
      </c>
      <c r="J37" t="s">
        <v>13</v>
      </c>
      <c r="K37">
        <v>2</v>
      </c>
      <c r="L37" t="s">
        <v>14</v>
      </c>
      <c r="M37" s="1">
        <v>8080940</v>
      </c>
      <c r="P37">
        <v>7000</v>
      </c>
      <c r="Q37">
        <f>IF(Table1[[#This Row],[furnishingstatus]]="furnished", 1, 0)</f>
        <v>1</v>
      </c>
      <c r="R37">
        <f>IF(Table1[[#This Row],[furnishingstatus]]="semi-furnished", 1, 0)</f>
        <v>0</v>
      </c>
      <c r="S37">
        <v>3</v>
      </c>
      <c r="T37">
        <v>2</v>
      </c>
      <c r="U37">
        <v>4</v>
      </c>
      <c r="V37">
        <f>IF(Table1[[#This Row],[mainroad]] = "yes", 1, 0)</f>
        <v>1</v>
      </c>
      <c r="W37">
        <f>IF(Table1[[#This Row],[guestroom]]= "yes", 1, 0)</f>
        <v>0</v>
      </c>
      <c r="X37">
        <f>IF(Table1[[#This Row],[basement]]="yes", 1, 0)</f>
        <v>0</v>
      </c>
      <c r="Y37">
        <f>IF(Table1[[#This Row],[hotwaterheating]]="yes", 1, 0)</f>
        <v>0</v>
      </c>
      <c r="Z37">
        <f>IF(Table1[[#This Row],[airconditioning]]="yes", 1, 0)</f>
        <v>1</v>
      </c>
      <c r="AA37">
        <v>2</v>
      </c>
      <c r="AB37">
        <f>IF(Table1[[#This Row],[prefarea]]= "yes", 1, 0)</f>
        <v>0</v>
      </c>
      <c r="AC37" s="1">
        <v>8080940</v>
      </c>
    </row>
    <row r="38" spans="1:29">
      <c r="A38">
        <v>7482</v>
      </c>
      <c r="B38" t="s">
        <v>15</v>
      </c>
      <c r="C38">
        <v>3</v>
      </c>
      <c r="D38">
        <v>2</v>
      </c>
      <c r="E38">
        <v>3</v>
      </c>
      <c r="F38" t="s">
        <v>13</v>
      </c>
      <c r="G38" t="s">
        <v>14</v>
      </c>
      <c r="H38" t="s">
        <v>14</v>
      </c>
      <c r="I38" t="s">
        <v>13</v>
      </c>
      <c r="J38" t="s">
        <v>14</v>
      </c>
      <c r="K38">
        <v>1</v>
      </c>
      <c r="L38" t="s">
        <v>13</v>
      </c>
      <c r="M38" s="1">
        <v>8043000</v>
      </c>
      <c r="P38">
        <v>7482</v>
      </c>
      <c r="Q38">
        <f>IF(Table1[[#This Row],[furnishingstatus]]="furnished", 1, 0)</f>
        <v>1</v>
      </c>
      <c r="R38">
        <f>IF(Table1[[#This Row],[furnishingstatus]]="semi-furnished", 1, 0)</f>
        <v>0</v>
      </c>
      <c r="S38">
        <v>3</v>
      </c>
      <c r="T38">
        <v>2</v>
      </c>
      <c r="U38">
        <v>3</v>
      </c>
      <c r="V38">
        <f>IF(Table1[[#This Row],[mainroad]] = "yes", 1, 0)</f>
        <v>1</v>
      </c>
      <c r="W38">
        <f>IF(Table1[[#This Row],[guestroom]]= "yes", 1, 0)</f>
        <v>0</v>
      </c>
      <c r="X38">
        <f>IF(Table1[[#This Row],[basement]]="yes", 1, 0)</f>
        <v>0</v>
      </c>
      <c r="Y38">
        <f>IF(Table1[[#This Row],[hotwaterheating]]="yes", 1, 0)</f>
        <v>1</v>
      </c>
      <c r="Z38">
        <f>IF(Table1[[#This Row],[airconditioning]]="yes", 1, 0)</f>
        <v>0</v>
      </c>
      <c r="AA38">
        <v>1</v>
      </c>
      <c r="AB38">
        <f>IF(Table1[[#This Row],[prefarea]]= "yes", 1, 0)</f>
        <v>1</v>
      </c>
      <c r="AC38" s="1">
        <v>8043000</v>
      </c>
    </row>
    <row r="39" spans="1:29">
      <c r="A39">
        <v>9000</v>
      </c>
      <c r="B39" t="s">
        <v>15</v>
      </c>
      <c r="C39">
        <v>4</v>
      </c>
      <c r="D39">
        <v>2</v>
      </c>
      <c r="E39">
        <v>4</v>
      </c>
      <c r="F39" t="s">
        <v>13</v>
      </c>
      <c r="G39" t="s">
        <v>14</v>
      </c>
      <c r="H39" t="s">
        <v>14</v>
      </c>
      <c r="I39" t="s">
        <v>14</v>
      </c>
      <c r="J39" t="s">
        <v>13</v>
      </c>
      <c r="K39">
        <v>2</v>
      </c>
      <c r="L39" t="s">
        <v>14</v>
      </c>
      <c r="M39" s="1">
        <v>7980000</v>
      </c>
      <c r="P39">
        <v>9000</v>
      </c>
      <c r="Q39">
        <f>IF(Table1[[#This Row],[furnishingstatus]]="furnished", 1, 0)</f>
        <v>1</v>
      </c>
      <c r="R39">
        <f>IF(Table1[[#This Row],[furnishingstatus]]="semi-furnished", 1, 0)</f>
        <v>0</v>
      </c>
      <c r="S39">
        <v>4</v>
      </c>
      <c r="T39">
        <v>2</v>
      </c>
      <c r="U39">
        <v>4</v>
      </c>
      <c r="V39">
        <f>IF(Table1[[#This Row],[mainroad]] = "yes", 1, 0)</f>
        <v>1</v>
      </c>
      <c r="W39">
        <f>IF(Table1[[#This Row],[guestroom]]= "yes", 1, 0)</f>
        <v>0</v>
      </c>
      <c r="X39">
        <f>IF(Table1[[#This Row],[basement]]="yes", 1, 0)</f>
        <v>0</v>
      </c>
      <c r="Y39">
        <f>IF(Table1[[#This Row],[hotwaterheating]]="yes", 1, 0)</f>
        <v>0</v>
      </c>
      <c r="Z39">
        <f>IF(Table1[[#This Row],[airconditioning]]="yes", 1, 0)</f>
        <v>1</v>
      </c>
      <c r="AA39">
        <v>2</v>
      </c>
      <c r="AB39">
        <f>IF(Table1[[#This Row],[prefarea]]= "yes", 1, 0)</f>
        <v>0</v>
      </c>
      <c r="AC39" s="1">
        <v>7980000</v>
      </c>
    </row>
    <row r="40" spans="1:29">
      <c r="A40">
        <v>6000</v>
      </c>
      <c r="B40" t="s">
        <v>17</v>
      </c>
      <c r="C40">
        <v>3</v>
      </c>
      <c r="D40">
        <v>1</v>
      </c>
      <c r="E40">
        <v>4</v>
      </c>
      <c r="F40" t="s">
        <v>13</v>
      </c>
      <c r="G40" t="s">
        <v>13</v>
      </c>
      <c r="H40" t="s">
        <v>14</v>
      </c>
      <c r="I40" t="s">
        <v>14</v>
      </c>
      <c r="J40" t="s">
        <v>13</v>
      </c>
      <c r="K40">
        <v>2</v>
      </c>
      <c r="L40" t="s">
        <v>14</v>
      </c>
      <c r="M40" s="1">
        <v>7962500</v>
      </c>
      <c r="P40">
        <v>6000</v>
      </c>
      <c r="Q40">
        <f>IF(Table1[[#This Row],[furnishingstatus]]="furnished", 1, 0)</f>
        <v>0</v>
      </c>
      <c r="R40">
        <f>IF(Table1[[#This Row],[furnishingstatus]]="semi-furnished", 1, 0)</f>
        <v>0</v>
      </c>
      <c r="S40">
        <v>3</v>
      </c>
      <c r="T40">
        <v>1</v>
      </c>
      <c r="U40">
        <v>4</v>
      </c>
      <c r="V40">
        <f>IF(Table1[[#This Row],[mainroad]] = "yes", 1, 0)</f>
        <v>1</v>
      </c>
      <c r="W40">
        <f>IF(Table1[[#This Row],[guestroom]]= "yes", 1, 0)</f>
        <v>1</v>
      </c>
      <c r="X40">
        <f>IF(Table1[[#This Row],[basement]]="yes", 1, 0)</f>
        <v>0</v>
      </c>
      <c r="Y40">
        <f>IF(Table1[[#This Row],[hotwaterheating]]="yes", 1, 0)</f>
        <v>0</v>
      </c>
      <c r="Z40">
        <f>IF(Table1[[#This Row],[airconditioning]]="yes", 1, 0)</f>
        <v>1</v>
      </c>
      <c r="AA40">
        <v>2</v>
      </c>
      <c r="AB40">
        <f>IF(Table1[[#This Row],[prefarea]]= "yes", 1, 0)</f>
        <v>0</v>
      </c>
      <c r="AC40" s="1">
        <v>7962500</v>
      </c>
    </row>
    <row r="41" spans="1:29">
      <c r="A41">
        <v>6000</v>
      </c>
      <c r="B41" t="s">
        <v>16</v>
      </c>
      <c r="C41">
        <v>4</v>
      </c>
      <c r="D41">
        <v>2</v>
      </c>
      <c r="E41">
        <v>4</v>
      </c>
      <c r="F41" t="s">
        <v>13</v>
      </c>
      <c r="G41" t="s">
        <v>14</v>
      </c>
      <c r="H41" t="s">
        <v>14</v>
      </c>
      <c r="I41" t="s">
        <v>14</v>
      </c>
      <c r="J41" t="s">
        <v>13</v>
      </c>
      <c r="K41">
        <v>1</v>
      </c>
      <c r="L41" t="s">
        <v>14</v>
      </c>
      <c r="M41" s="1">
        <v>7910000</v>
      </c>
      <c r="P41">
        <v>6000</v>
      </c>
      <c r="Q41">
        <f>IF(Table1[[#This Row],[furnishingstatus]]="furnished", 1, 0)</f>
        <v>0</v>
      </c>
      <c r="R41">
        <f>IF(Table1[[#This Row],[furnishingstatus]]="semi-furnished", 1, 0)</f>
        <v>1</v>
      </c>
      <c r="S41">
        <v>4</v>
      </c>
      <c r="T41">
        <v>2</v>
      </c>
      <c r="U41">
        <v>4</v>
      </c>
      <c r="V41">
        <f>IF(Table1[[#This Row],[mainroad]] = "yes", 1, 0)</f>
        <v>1</v>
      </c>
      <c r="W41">
        <f>IF(Table1[[#This Row],[guestroom]]= "yes", 1, 0)</f>
        <v>0</v>
      </c>
      <c r="X41">
        <f>IF(Table1[[#This Row],[basement]]="yes", 1, 0)</f>
        <v>0</v>
      </c>
      <c r="Y41">
        <f>IF(Table1[[#This Row],[hotwaterheating]]="yes", 1, 0)</f>
        <v>0</v>
      </c>
      <c r="Z41">
        <f>IF(Table1[[#This Row],[airconditioning]]="yes", 1, 0)</f>
        <v>1</v>
      </c>
      <c r="AA41">
        <v>1</v>
      </c>
      <c r="AB41">
        <f>IF(Table1[[#This Row],[prefarea]]= "yes", 1, 0)</f>
        <v>0</v>
      </c>
      <c r="AC41" s="1">
        <v>7910000</v>
      </c>
    </row>
    <row r="42" spans="1:29">
      <c r="A42">
        <v>6550</v>
      </c>
      <c r="B42" t="s">
        <v>15</v>
      </c>
      <c r="C42">
        <v>3</v>
      </c>
      <c r="D42">
        <v>1</v>
      </c>
      <c r="E42">
        <v>2</v>
      </c>
      <c r="F42" t="s">
        <v>13</v>
      </c>
      <c r="G42" t="s">
        <v>14</v>
      </c>
      <c r="H42" t="s">
        <v>13</v>
      </c>
      <c r="I42" t="s">
        <v>14</v>
      </c>
      <c r="J42" t="s">
        <v>13</v>
      </c>
      <c r="K42">
        <v>0</v>
      </c>
      <c r="L42" t="s">
        <v>13</v>
      </c>
      <c r="M42" s="1">
        <v>7875000</v>
      </c>
      <c r="P42">
        <v>6550</v>
      </c>
      <c r="Q42">
        <f>IF(Table1[[#This Row],[furnishingstatus]]="furnished", 1, 0)</f>
        <v>1</v>
      </c>
      <c r="R42">
        <f>IF(Table1[[#This Row],[furnishingstatus]]="semi-furnished", 1, 0)</f>
        <v>0</v>
      </c>
      <c r="S42">
        <v>3</v>
      </c>
      <c r="T42">
        <v>1</v>
      </c>
      <c r="U42">
        <v>2</v>
      </c>
      <c r="V42">
        <f>IF(Table1[[#This Row],[mainroad]] = "yes", 1, 0)</f>
        <v>1</v>
      </c>
      <c r="W42">
        <f>IF(Table1[[#This Row],[guestroom]]= "yes", 1, 0)</f>
        <v>0</v>
      </c>
      <c r="X42">
        <f>IF(Table1[[#This Row],[basement]]="yes", 1, 0)</f>
        <v>1</v>
      </c>
      <c r="Y42">
        <f>IF(Table1[[#This Row],[hotwaterheating]]="yes", 1, 0)</f>
        <v>0</v>
      </c>
      <c r="Z42">
        <f>IF(Table1[[#This Row],[airconditioning]]="yes", 1, 0)</f>
        <v>1</v>
      </c>
      <c r="AA42">
        <v>0</v>
      </c>
      <c r="AB42">
        <f>IF(Table1[[#This Row],[prefarea]]= "yes", 1, 0)</f>
        <v>1</v>
      </c>
      <c r="AC42" s="1">
        <v>7875000</v>
      </c>
    </row>
    <row r="43" spans="1:29">
      <c r="A43">
        <v>6360</v>
      </c>
      <c r="B43" t="s">
        <v>15</v>
      </c>
      <c r="C43">
        <v>3</v>
      </c>
      <c r="D43">
        <v>2</v>
      </c>
      <c r="E43">
        <v>4</v>
      </c>
      <c r="F43" t="s">
        <v>13</v>
      </c>
      <c r="G43" t="s">
        <v>14</v>
      </c>
      <c r="H43" t="s">
        <v>14</v>
      </c>
      <c r="I43" t="s">
        <v>14</v>
      </c>
      <c r="J43" t="s">
        <v>13</v>
      </c>
      <c r="K43">
        <v>0</v>
      </c>
      <c r="L43" t="s">
        <v>13</v>
      </c>
      <c r="M43" s="1">
        <v>7840000</v>
      </c>
      <c r="P43">
        <v>6360</v>
      </c>
      <c r="Q43">
        <f>IF(Table1[[#This Row],[furnishingstatus]]="furnished", 1, 0)</f>
        <v>1</v>
      </c>
      <c r="R43">
        <f>IF(Table1[[#This Row],[furnishingstatus]]="semi-furnished", 1, 0)</f>
        <v>0</v>
      </c>
      <c r="S43">
        <v>3</v>
      </c>
      <c r="T43">
        <v>2</v>
      </c>
      <c r="U43">
        <v>4</v>
      </c>
      <c r="V43">
        <f>IF(Table1[[#This Row],[mainroad]] = "yes", 1, 0)</f>
        <v>1</v>
      </c>
      <c r="W43">
        <f>IF(Table1[[#This Row],[guestroom]]= "yes", 1, 0)</f>
        <v>0</v>
      </c>
      <c r="X43">
        <f>IF(Table1[[#This Row],[basement]]="yes", 1, 0)</f>
        <v>0</v>
      </c>
      <c r="Y43">
        <f>IF(Table1[[#This Row],[hotwaterheating]]="yes", 1, 0)</f>
        <v>0</v>
      </c>
      <c r="Z43">
        <f>IF(Table1[[#This Row],[airconditioning]]="yes", 1, 0)</f>
        <v>1</v>
      </c>
      <c r="AA43">
        <v>0</v>
      </c>
      <c r="AB43">
        <f>IF(Table1[[#This Row],[prefarea]]= "yes", 1, 0)</f>
        <v>1</v>
      </c>
      <c r="AC43" s="1">
        <v>7840000</v>
      </c>
    </row>
    <row r="44" spans="1:29">
      <c r="A44">
        <v>6480</v>
      </c>
      <c r="B44" t="s">
        <v>17</v>
      </c>
      <c r="C44">
        <v>3</v>
      </c>
      <c r="D44">
        <v>2</v>
      </c>
      <c r="E44">
        <v>4</v>
      </c>
      <c r="F44" t="s">
        <v>13</v>
      </c>
      <c r="G44" t="s">
        <v>14</v>
      </c>
      <c r="H44" t="s">
        <v>14</v>
      </c>
      <c r="I44" t="s">
        <v>14</v>
      </c>
      <c r="J44" t="s">
        <v>13</v>
      </c>
      <c r="K44">
        <v>2</v>
      </c>
      <c r="L44" t="s">
        <v>14</v>
      </c>
      <c r="M44" s="1">
        <v>7700000</v>
      </c>
      <c r="P44">
        <v>6480</v>
      </c>
      <c r="Q44">
        <f>IF(Table1[[#This Row],[furnishingstatus]]="furnished", 1, 0)</f>
        <v>0</v>
      </c>
      <c r="R44">
        <f>IF(Table1[[#This Row],[furnishingstatus]]="semi-furnished", 1, 0)</f>
        <v>0</v>
      </c>
      <c r="S44">
        <v>3</v>
      </c>
      <c r="T44">
        <v>2</v>
      </c>
      <c r="U44">
        <v>4</v>
      </c>
      <c r="V44">
        <f>IF(Table1[[#This Row],[mainroad]] = "yes", 1, 0)</f>
        <v>1</v>
      </c>
      <c r="W44">
        <f>IF(Table1[[#This Row],[guestroom]]= "yes", 1, 0)</f>
        <v>0</v>
      </c>
      <c r="X44">
        <f>IF(Table1[[#This Row],[basement]]="yes", 1, 0)</f>
        <v>0</v>
      </c>
      <c r="Y44">
        <f>IF(Table1[[#This Row],[hotwaterheating]]="yes", 1, 0)</f>
        <v>0</v>
      </c>
      <c r="Z44">
        <f>IF(Table1[[#This Row],[airconditioning]]="yes", 1, 0)</f>
        <v>1</v>
      </c>
      <c r="AA44">
        <v>2</v>
      </c>
      <c r="AB44">
        <f>IF(Table1[[#This Row],[prefarea]]= "yes", 1, 0)</f>
        <v>0</v>
      </c>
      <c r="AC44" s="1">
        <v>7700000</v>
      </c>
    </row>
    <row r="45" spans="1:29">
      <c r="A45">
        <v>6000</v>
      </c>
      <c r="B45" t="s">
        <v>16</v>
      </c>
      <c r="C45">
        <v>4</v>
      </c>
      <c r="D45">
        <v>2</v>
      </c>
      <c r="E45">
        <v>4</v>
      </c>
      <c r="F45" t="s">
        <v>13</v>
      </c>
      <c r="G45" t="s">
        <v>14</v>
      </c>
      <c r="H45" t="s">
        <v>14</v>
      </c>
      <c r="I45" t="s">
        <v>14</v>
      </c>
      <c r="J45" t="s">
        <v>14</v>
      </c>
      <c r="K45">
        <v>2</v>
      </c>
      <c r="L45" t="s">
        <v>14</v>
      </c>
      <c r="M45" s="1">
        <v>7700000</v>
      </c>
      <c r="P45">
        <v>6000</v>
      </c>
      <c r="Q45">
        <f>IF(Table1[[#This Row],[furnishingstatus]]="furnished", 1, 0)</f>
        <v>0</v>
      </c>
      <c r="R45">
        <f>IF(Table1[[#This Row],[furnishingstatus]]="semi-furnished", 1, 0)</f>
        <v>1</v>
      </c>
      <c r="S45">
        <v>4</v>
      </c>
      <c r="T45">
        <v>2</v>
      </c>
      <c r="U45">
        <v>4</v>
      </c>
      <c r="V45">
        <f>IF(Table1[[#This Row],[mainroad]] = "yes", 1, 0)</f>
        <v>1</v>
      </c>
      <c r="W45">
        <f>IF(Table1[[#This Row],[guestroom]]= "yes", 1, 0)</f>
        <v>0</v>
      </c>
      <c r="X45">
        <f>IF(Table1[[#This Row],[basement]]="yes", 1, 0)</f>
        <v>0</v>
      </c>
      <c r="Y45">
        <f>IF(Table1[[#This Row],[hotwaterheating]]="yes", 1, 0)</f>
        <v>0</v>
      </c>
      <c r="Z45">
        <f>IF(Table1[[#This Row],[airconditioning]]="yes", 1, 0)</f>
        <v>0</v>
      </c>
      <c r="AA45">
        <v>2</v>
      </c>
      <c r="AB45">
        <f>IF(Table1[[#This Row],[prefarea]]= "yes", 1, 0)</f>
        <v>0</v>
      </c>
      <c r="AC45" s="1">
        <v>7700000</v>
      </c>
    </row>
    <row r="46" spans="1:29">
      <c r="A46">
        <v>6000</v>
      </c>
      <c r="B46" t="s">
        <v>15</v>
      </c>
      <c r="C46">
        <v>4</v>
      </c>
      <c r="D46">
        <v>2</v>
      </c>
      <c r="E46">
        <v>4</v>
      </c>
      <c r="F46" t="s">
        <v>13</v>
      </c>
      <c r="G46" t="s">
        <v>14</v>
      </c>
      <c r="H46" t="s">
        <v>14</v>
      </c>
      <c r="I46" t="s">
        <v>14</v>
      </c>
      <c r="J46" t="s">
        <v>13</v>
      </c>
      <c r="K46">
        <v>1</v>
      </c>
      <c r="L46" t="s">
        <v>14</v>
      </c>
      <c r="M46" s="1">
        <v>7560000</v>
      </c>
      <c r="P46">
        <v>6000</v>
      </c>
      <c r="Q46">
        <f>IF(Table1[[#This Row],[furnishingstatus]]="furnished", 1, 0)</f>
        <v>1</v>
      </c>
      <c r="R46">
        <f>IF(Table1[[#This Row],[furnishingstatus]]="semi-furnished", 1, 0)</f>
        <v>0</v>
      </c>
      <c r="S46">
        <v>4</v>
      </c>
      <c r="T46">
        <v>2</v>
      </c>
      <c r="U46">
        <v>4</v>
      </c>
      <c r="V46">
        <f>IF(Table1[[#This Row],[mainroad]] = "yes", 1, 0)</f>
        <v>1</v>
      </c>
      <c r="W46">
        <f>IF(Table1[[#This Row],[guestroom]]= "yes", 1, 0)</f>
        <v>0</v>
      </c>
      <c r="X46">
        <f>IF(Table1[[#This Row],[basement]]="yes", 1, 0)</f>
        <v>0</v>
      </c>
      <c r="Y46">
        <f>IF(Table1[[#This Row],[hotwaterheating]]="yes", 1, 0)</f>
        <v>0</v>
      </c>
      <c r="Z46">
        <f>IF(Table1[[#This Row],[airconditioning]]="yes", 1, 0)</f>
        <v>1</v>
      </c>
      <c r="AA46">
        <v>1</v>
      </c>
      <c r="AB46">
        <f>IF(Table1[[#This Row],[prefarea]]= "yes", 1, 0)</f>
        <v>0</v>
      </c>
      <c r="AC46" s="1">
        <v>7560000</v>
      </c>
    </row>
    <row r="47" spans="1:29">
      <c r="A47">
        <v>6000</v>
      </c>
      <c r="B47" t="s">
        <v>16</v>
      </c>
      <c r="C47">
        <v>3</v>
      </c>
      <c r="D47">
        <v>2</v>
      </c>
      <c r="E47">
        <v>3</v>
      </c>
      <c r="F47" t="s">
        <v>13</v>
      </c>
      <c r="G47" t="s">
        <v>14</v>
      </c>
      <c r="H47" t="s">
        <v>14</v>
      </c>
      <c r="I47" t="s">
        <v>14</v>
      </c>
      <c r="J47" t="s">
        <v>13</v>
      </c>
      <c r="K47">
        <v>0</v>
      </c>
      <c r="L47" t="s">
        <v>14</v>
      </c>
      <c r="M47" s="1">
        <v>7560000</v>
      </c>
      <c r="P47">
        <v>6000</v>
      </c>
      <c r="Q47">
        <f>IF(Table1[[#This Row],[furnishingstatus]]="furnished", 1, 0)</f>
        <v>0</v>
      </c>
      <c r="R47">
        <f>IF(Table1[[#This Row],[furnishingstatus]]="semi-furnished", 1, 0)</f>
        <v>1</v>
      </c>
      <c r="S47">
        <v>3</v>
      </c>
      <c r="T47">
        <v>2</v>
      </c>
      <c r="U47">
        <v>3</v>
      </c>
      <c r="V47">
        <f>IF(Table1[[#This Row],[mainroad]] = "yes", 1, 0)</f>
        <v>1</v>
      </c>
      <c r="W47">
        <f>IF(Table1[[#This Row],[guestroom]]= "yes", 1, 0)</f>
        <v>0</v>
      </c>
      <c r="X47">
        <f>IF(Table1[[#This Row],[basement]]="yes", 1, 0)</f>
        <v>0</v>
      </c>
      <c r="Y47">
        <f>IF(Table1[[#This Row],[hotwaterheating]]="yes", 1, 0)</f>
        <v>0</v>
      </c>
      <c r="Z47">
        <f>IF(Table1[[#This Row],[airconditioning]]="yes", 1, 0)</f>
        <v>1</v>
      </c>
      <c r="AA47">
        <v>0</v>
      </c>
      <c r="AB47">
        <f>IF(Table1[[#This Row],[prefarea]]= "yes", 1, 0)</f>
        <v>0</v>
      </c>
      <c r="AC47" s="1">
        <v>7560000</v>
      </c>
    </row>
    <row r="48" spans="1:29">
      <c r="A48">
        <v>6000</v>
      </c>
      <c r="B48" t="s">
        <v>15</v>
      </c>
      <c r="C48">
        <v>3</v>
      </c>
      <c r="D48">
        <v>2</v>
      </c>
      <c r="E48">
        <v>4</v>
      </c>
      <c r="F48" t="s">
        <v>13</v>
      </c>
      <c r="G48" t="s">
        <v>14</v>
      </c>
      <c r="H48" t="s">
        <v>14</v>
      </c>
      <c r="I48" t="s">
        <v>14</v>
      </c>
      <c r="J48" t="s">
        <v>13</v>
      </c>
      <c r="K48">
        <v>1</v>
      </c>
      <c r="L48" t="s">
        <v>14</v>
      </c>
      <c r="M48" s="1">
        <v>7525000</v>
      </c>
      <c r="P48">
        <v>6000</v>
      </c>
      <c r="Q48">
        <f>IF(Table1[[#This Row],[furnishingstatus]]="furnished", 1, 0)</f>
        <v>1</v>
      </c>
      <c r="R48">
        <f>IF(Table1[[#This Row],[furnishingstatus]]="semi-furnished", 1, 0)</f>
        <v>0</v>
      </c>
      <c r="S48">
        <v>3</v>
      </c>
      <c r="T48">
        <v>2</v>
      </c>
      <c r="U48">
        <v>4</v>
      </c>
      <c r="V48">
        <f>IF(Table1[[#This Row],[mainroad]] = "yes", 1, 0)</f>
        <v>1</v>
      </c>
      <c r="W48">
        <f>IF(Table1[[#This Row],[guestroom]]= "yes", 1, 0)</f>
        <v>0</v>
      </c>
      <c r="X48">
        <f>IF(Table1[[#This Row],[basement]]="yes", 1, 0)</f>
        <v>0</v>
      </c>
      <c r="Y48">
        <f>IF(Table1[[#This Row],[hotwaterheating]]="yes", 1, 0)</f>
        <v>0</v>
      </c>
      <c r="Z48">
        <f>IF(Table1[[#This Row],[airconditioning]]="yes", 1, 0)</f>
        <v>1</v>
      </c>
      <c r="AA48">
        <v>1</v>
      </c>
      <c r="AB48">
        <f>IF(Table1[[#This Row],[prefarea]]= "yes", 1, 0)</f>
        <v>0</v>
      </c>
      <c r="AC48" s="1">
        <v>7525000</v>
      </c>
    </row>
    <row r="49" spans="1:29">
      <c r="A49">
        <v>6600</v>
      </c>
      <c r="B49" t="s">
        <v>15</v>
      </c>
      <c r="C49">
        <v>3</v>
      </c>
      <c r="D49">
        <v>1</v>
      </c>
      <c r="E49">
        <v>4</v>
      </c>
      <c r="F49" t="s">
        <v>13</v>
      </c>
      <c r="G49" t="s">
        <v>14</v>
      </c>
      <c r="H49" t="s">
        <v>14</v>
      </c>
      <c r="I49" t="s">
        <v>14</v>
      </c>
      <c r="J49" t="s">
        <v>13</v>
      </c>
      <c r="K49">
        <v>3</v>
      </c>
      <c r="L49" t="s">
        <v>13</v>
      </c>
      <c r="M49" s="1">
        <v>7490000</v>
      </c>
      <c r="P49">
        <v>6600</v>
      </c>
      <c r="Q49">
        <f>IF(Table1[[#This Row],[furnishingstatus]]="furnished", 1, 0)</f>
        <v>1</v>
      </c>
      <c r="R49">
        <f>IF(Table1[[#This Row],[furnishingstatus]]="semi-furnished", 1, 0)</f>
        <v>0</v>
      </c>
      <c r="S49">
        <v>3</v>
      </c>
      <c r="T49">
        <v>1</v>
      </c>
      <c r="U49">
        <v>4</v>
      </c>
      <c r="V49">
        <f>IF(Table1[[#This Row],[mainroad]] = "yes", 1, 0)</f>
        <v>1</v>
      </c>
      <c r="W49">
        <f>IF(Table1[[#This Row],[guestroom]]= "yes", 1, 0)</f>
        <v>0</v>
      </c>
      <c r="X49">
        <f>IF(Table1[[#This Row],[basement]]="yes", 1, 0)</f>
        <v>0</v>
      </c>
      <c r="Y49">
        <f>IF(Table1[[#This Row],[hotwaterheating]]="yes", 1, 0)</f>
        <v>0</v>
      </c>
      <c r="Z49">
        <f>IF(Table1[[#This Row],[airconditioning]]="yes", 1, 0)</f>
        <v>1</v>
      </c>
      <c r="AA49">
        <v>3</v>
      </c>
      <c r="AB49">
        <f>IF(Table1[[#This Row],[prefarea]]= "yes", 1, 0)</f>
        <v>1</v>
      </c>
      <c r="AC49" s="1">
        <v>7490000</v>
      </c>
    </row>
    <row r="50" spans="1:29">
      <c r="A50">
        <v>4300</v>
      </c>
      <c r="B50" t="s">
        <v>17</v>
      </c>
      <c r="C50">
        <v>3</v>
      </c>
      <c r="D50">
        <v>2</v>
      </c>
      <c r="E50">
        <v>2</v>
      </c>
      <c r="F50" t="s">
        <v>13</v>
      </c>
      <c r="G50" t="s">
        <v>14</v>
      </c>
      <c r="H50" t="s">
        <v>13</v>
      </c>
      <c r="I50" t="s">
        <v>14</v>
      </c>
      <c r="J50" t="s">
        <v>14</v>
      </c>
      <c r="K50">
        <v>1</v>
      </c>
      <c r="L50" t="s">
        <v>14</v>
      </c>
      <c r="M50" s="1">
        <v>7455000</v>
      </c>
      <c r="P50">
        <v>4300</v>
      </c>
      <c r="Q50">
        <f>IF(Table1[[#This Row],[furnishingstatus]]="furnished", 1, 0)</f>
        <v>0</v>
      </c>
      <c r="R50">
        <f>IF(Table1[[#This Row],[furnishingstatus]]="semi-furnished", 1, 0)</f>
        <v>0</v>
      </c>
      <c r="S50">
        <v>3</v>
      </c>
      <c r="T50">
        <v>2</v>
      </c>
      <c r="U50">
        <v>2</v>
      </c>
      <c r="V50">
        <f>IF(Table1[[#This Row],[mainroad]] = "yes", 1, 0)</f>
        <v>1</v>
      </c>
      <c r="W50">
        <f>IF(Table1[[#This Row],[guestroom]]= "yes", 1, 0)</f>
        <v>0</v>
      </c>
      <c r="X50">
        <f>IF(Table1[[#This Row],[basement]]="yes", 1, 0)</f>
        <v>1</v>
      </c>
      <c r="Y50">
        <f>IF(Table1[[#This Row],[hotwaterheating]]="yes", 1, 0)</f>
        <v>0</v>
      </c>
      <c r="Z50">
        <f>IF(Table1[[#This Row],[airconditioning]]="yes", 1, 0)</f>
        <v>0</v>
      </c>
      <c r="AA50">
        <v>1</v>
      </c>
      <c r="AB50">
        <f>IF(Table1[[#This Row],[prefarea]]= "yes", 1, 0)</f>
        <v>0</v>
      </c>
      <c r="AC50" s="1">
        <v>7455000</v>
      </c>
    </row>
    <row r="51" spans="1:29">
      <c r="A51">
        <v>7440</v>
      </c>
      <c r="B51" t="s">
        <v>16</v>
      </c>
      <c r="C51">
        <v>3</v>
      </c>
      <c r="D51">
        <v>2</v>
      </c>
      <c r="E51">
        <v>1</v>
      </c>
      <c r="F51" t="s">
        <v>13</v>
      </c>
      <c r="G51" t="s">
        <v>13</v>
      </c>
      <c r="H51" t="s">
        <v>13</v>
      </c>
      <c r="I51" t="s">
        <v>14</v>
      </c>
      <c r="J51" t="s">
        <v>13</v>
      </c>
      <c r="K51">
        <v>0</v>
      </c>
      <c r="L51" t="s">
        <v>13</v>
      </c>
      <c r="M51" s="1">
        <v>7420000</v>
      </c>
      <c r="P51">
        <v>7440</v>
      </c>
      <c r="Q51">
        <f>IF(Table1[[#This Row],[furnishingstatus]]="furnished", 1, 0)</f>
        <v>0</v>
      </c>
      <c r="R51">
        <f>IF(Table1[[#This Row],[furnishingstatus]]="semi-furnished", 1, 0)</f>
        <v>1</v>
      </c>
      <c r="S51">
        <v>3</v>
      </c>
      <c r="T51">
        <v>2</v>
      </c>
      <c r="U51">
        <v>1</v>
      </c>
      <c r="V51">
        <f>IF(Table1[[#This Row],[mainroad]] = "yes", 1, 0)</f>
        <v>1</v>
      </c>
      <c r="W51">
        <f>IF(Table1[[#This Row],[guestroom]]= "yes", 1, 0)</f>
        <v>1</v>
      </c>
      <c r="X51">
        <f>IF(Table1[[#This Row],[basement]]="yes", 1, 0)</f>
        <v>1</v>
      </c>
      <c r="Y51">
        <f>IF(Table1[[#This Row],[hotwaterheating]]="yes", 1, 0)</f>
        <v>0</v>
      </c>
      <c r="Z51">
        <f>IF(Table1[[#This Row],[airconditioning]]="yes", 1, 0)</f>
        <v>1</v>
      </c>
      <c r="AA51">
        <v>0</v>
      </c>
      <c r="AB51">
        <f>IF(Table1[[#This Row],[prefarea]]= "yes", 1, 0)</f>
        <v>1</v>
      </c>
      <c r="AC51" s="1">
        <v>7420000</v>
      </c>
    </row>
    <row r="52" spans="1:29">
      <c r="A52">
        <v>7440</v>
      </c>
      <c r="B52" t="s">
        <v>17</v>
      </c>
      <c r="C52">
        <v>3</v>
      </c>
      <c r="D52">
        <v>2</v>
      </c>
      <c r="E52">
        <v>4</v>
      </c>
      <c r="F52" t="s">
        <v>13</v>
      </c>
      <c r="G52" t="s">
        <v>14</v>
      </c>
      <c r="H52" t="s">
        <v>14</v>
      </c>
      <c r="I52" t="s">
        <v>14</v>
      </c>
      <c r="J52" t="s">
        <v>14</v>
      </c>
      <c r="K52">
        <v>1</v>
      </c>
      <c r="L52" t="s">
        <v>13</v>
      </c>
      <c r="M52" s="1">
        <v>7420000</v>
      </c>
      <c r="P52">
        <v>7440</v>
      </c>
      <c r="Q52">
        <f>IF(Table1[[#This Row],[furnishingstatus]]="furnished", 1, 0)</f>
        <v>0</v>
      </c>
      <c r="R52">
        <f>IF(Table1[[#This Row],[furnishingstatus]]="semi-furnished", 1, 0)</f>
        <v>0</v>
      </c>
      <c r="S52">
        <v>3</v>
      </c>
      <c r="T52">
        <v>2</v>
      </c>
      <c r="U52">
        <v>4</v>
      </c>
      <c r="V52">
        <f>IF(Table1[[#This Row],[mainroad]] = "yes", 1, 0)</f>
        <v>1</v>
      </c>
      <c r="W52">
        <f>IF(Table1[[#This Row],[guestroom]]= "yes", 1, 0)</f>
        <v>0</v>
      </c>
      <c r="X52">
        <f>IF(Table1[[#This Row],[basement]]="yes", 1, 0)</f>
        <v>0</v>
      </c>
      <c r="Y52">
        <f>IF(Table1[[#This Row],[hotwaterheating]]="yes", 1, 0)</f>
        <v>0</v>
      </c>
      <c r="Z52">
        <f>IF(Table1[[#This Row],[airconditioning]]="yes", 1, 0)</f>
        <v>0</v>
      </c>
      <c r="AA52">
        <v>1</v>
      </c>
      <c r="AB52">
        <f>IF(Table1[[#This Row],[prefarea]]= "yes", 1, 0)</f>
        <v>1</v>
      </c>
      <c r="AC52" s="1">
        <v>7420000</v>
      </c>
    </row>
    <row r="53" spans="1:29">
      <c r="A53">
        <v>6325</v>
      </c>
      <c r="B53" t="s">
        <v>17</v>
      </c>
      <c r="C53">
        <v>3</v>
      </c>
      <c r="D53">
        <v>1</v>
      </c>
      <c r="E53">
        <v>4</v>
      </c>
      <c r="F53" t="s">
        <v>13</v>
      </c>
      <c r="G53" t="s">
        <v>14</v>
      </c>
      <c r="H53" t="s">
        <v>14</v>
      </c>
      <c r="I53" t="s">
        <v>14</v>
      </c>
      <c r="J53" t="s">
        <v>13</v>
      </c>
      <c r="K53">
        <v>1</v>
      </c>
      <c r="L53" t="s">
        <v>14</v>
      </c>
      <c r="M53" s="1">
        <v>7420000</v>
      </c>
      <c r="P53">
        <v>6325</v>
      </c>
      <c r="Q53">
        <f>IF(Table1[[#This Row],[furnishingstatus]]="furnished", 1, 0)</f>
        <v>0</v>
      </c>
      <c r="R53">
        <f>IF(Table1[[#This Row],[furnishingstatus]]="semi-furnished", 1, 0)</f>
        <v>0</v>
      </c>
      <c r="S53">
        <v>3</v>
      </c>
      <c r="T53">
        <v>1</v>
      </c>
      <c r="U53">
        <v>4</v>
      </c>
      <c r="V53">
        <f>IF(Table1[[#This Row],[mainroad]] = "yes", 1, 0)</f>
        <v>1</v>
      </c>
      <c r="W53">
        <f>IF(Table1[[#This Row],[guestroom]]= "yes", 1, 0)</f>
        <v>0</v>
      </c>
      <c r="X53">
        <f>IF(Table1[[#This Row],[basement]]="yes", 1, 0)</f>
        <v>0</v>
      </c>
      <c r="Y53">
        <f>IF(Table1[[#This Row],[hotwaterheating]]="yes", 1, 0)</f>
        <v>0</v>
      </c>
      <c r="Z53">
        <f>IF(Table1[[#This Row],[airconditioning]]="yes", 1, 0)</f>
        <v>1</v>
      </c>
      <c r="AA53">
        <v>1</v>
      </c>
      <c r="AB53">
        <f>IF(Table1[[#This Row],[prefarea]]= "yes", 1, 0)</f>
        <v>0</v>
      </c>
      <c r="AC53" s="1">
        <v>7420000</v>
      </c>
    </row>
    <row r="54" spans="1:29">
      <c r="A54">
        <v>6000</v>
      </c>
      <c r="B54" t="s">
        <v>15</v>
      </c>
      <c r="C54">
        <v>4</v>
      </c>
      <c r="D54">
        <v>2</v>
      </c>
      <c r="E54">
        <v>4</v>
      </c>
      <c r="F54" t="s">
        <v>13</v>
      </c>
      <c r="G54" t="s">
        <v>13</v>
      </c>
      <c r="H54" t="s">
        <v>14</v>
      </c>
      <c r="I54" t="s">
        <v>14</v>
      </c>
      <c r="J54" t="s">
        <v>13</v>
      </c>
      <c r="K54">
        <v>1</v>
      </c>
      <c r="L54" t="s">
        <v>14</v>
      </c>
      <c r="M54" s="1">
        <v>7350000</v>
      </c>
      <c r="P54">
        <v>6000</v>
      </c>
      <c r="Q54">
        <f>IF(Table1[[#This Row],[furnishingstatus]]="furnished", 1, 0)</f>
        <v>1</v>
      </c>
      <c r="R54">
        <f>IF(Table1[[#This Row],[furnishingstatus]]="semi-furnished", 1, 0)</f>
        <v>0</v>
      </c>
      <c r="S54">
        <v>4</v>
      </c>
      <c r="T54">
        <v>2</v>
      </c>
      <c r="U54">
        <v>4</v>
      </c>
      <c r="V54">
        <f>IF(Table1[[#This Row],[mainroad]] = "yes", 1, 0)</f>
        <v>1</v>
      </c>
      <c r="W54">
        <f>IF(Table1[[#This Row],[guestroom]]= "yes", 1, 0)</f>
        <v>1</v>
      </c>
      <c r="X54">
        <f>IF(Table1[[#This Row],[basement]]="yes", 1, 0)</f>
        <v>0</v>
      </c>
      <c r="Y54">
        <f>IF(Table1[[#This Row],[hotwaterheating]]="yes", 1, 0)</f>
        <v>0</v>
      </c>
      <c r="Z54">
        <f>IF(Table1[[#This Row],[airconditioning]]="yes", 1, 0)</f>
        <v>1</v>
      </c>
      <c r="AA54">
        <v>1</v>
      </c>
      <c r="AB54">
        <f>IF(Table1[[#This Row],[prefarea]]= "yes", 1, 0)</f>
        <v>0</v>
      </c>
      <c r="AC54" s="1">
        <v>7350000</v>
      </c>
    </row>
    <row r="55" spans="1:29">
      <c r="A55">
        <v>5150</v>
      </c>
      <c r="B55" t="s">
        <v>16</v>
      </c>
      <c r="C55">
        <v>3</v>
      </c>
      <c r="D55">
        <v>2</v>
      </c>
      <c r="E55">
        <v>4</v>
      </c>
      <c r="F55" t="s">
        <v>13</v>
      </c>
      <c r="G55" t="s">
        <v>14</v>
      </c>
      <c r="H55" t="s">
        <v>14</v>
      </c>
      <c r="I55" t="s">
        <v>14</v>
      </c>
      <c r="J55" t="s">
        <v>13</v>
      </c>
      <c r="K55">
        <v>2</v>
      </c>
      <c r="L55" t="s">
        <v>14</v>
      </c>
      <c r="M55" s="1">
        <v>7350000</v>
      </c>
      <c r="P55">
        <v>5150</v>
      </c>
      <c r="Q55">
        <f>IF(Table1[[#This Row],[furnishingstatus]]="furnished", 1, 0)</f>
        <v>0</v>
      </c>
      <c r="R55">
        <f>IF(Table1[[#This Row],[furnishingstatus]]="semi-furnished", 1, 0)</f>
        <v>1</v>
      </c>
      <c r="S55">
        <v>3</v>
      </c>
      <c r="T55">
        <v>2</v>
      </c>
      <c r="U55">
        <v>4</v>
      </c>
      <c r="V55">
        <f>IF(Table1[[#This Row],[mainroad]] = "yes", 1, 0)</f>
        <v>1</v>
      </c>
      <c r="W55">
        <f>IF(Table1[[#This Row],[guestroom]]= "yes", 1, 0)</f>
        <v>0</v>
      </c>
      <c r="X55">
        <f>IF(Table1[[#This Row],[basement]]="yes", 1, 0)</f>
        <v>0</v>
      </c>
      <c r="Y55">
        <f>IF(Table1[[#This Row],[hotwaterheating]]="yes", 1, 0)</f>
        <v>0</v>
      </c>
      <c r="Z55">
        <f>IF(Table1[[#This Row],[airconditioning]]="yes", 1, 0)</f>
        <v>1</v>
      </c>
      <c r="AA55">
        <v>2</v>
      </c>
      <c r="AB55">
        <f>IF(Table1[[#This Row],[prefarea]]= "yes", 1, 0)</f>
        <v>0</v>
      </c>
      <c r="AC55" s="1">
        <v>7350000</v>
      </c>
    </row>
    <row r="56" spans="1:29">
      <c r="A56">
        <v>6000</v>
      </c>
      <c r="B56" t="s">
        <v>16</v>
      </c>
      <c r="C56">
        <v>3</v>
      </c>
      <c r="D56">
        <v>2</v>
      </c>
      <c r="E56">
        <v>2</v>
      </c>
      <c r="F56" t="s">
        <v>13</v>
      </c>
      <c r="G56" t="s">
        <v>13</v>
      </c>
      <c r="H56" t="s">
        <v>14</v>
      </c>
      <c r="I56" t="s">
        <v>14</v>
      </c>
      <c r="J56" t="s">
        <v>13</v>
      </c>
      <c r="K56">
        <v>1</v>
      </c>
      <c r="L56" t="s">
        <v>14</v>
      </c>
      <c r="M56" s="1">
        <v>7350000</v>
      </c>
      <c r="P56">
        <v>6000</v>
      </c>
      <c r="Q56">
        <f>IF(Table1[[#This Row],[furnishingstatus]]="furnished", 1, 0)</f>
        <v>0</v>
      </c>
      <c r="R56">
        <f>IF(Table1[[#This Row],[furnishingstatus]]="semi-furnished", 1, 0)</f>
        <v>1</v>
      </c>
      <c r="S56">
        <v>3</v>
      </c>
      <c r="T56">
        <v>2</v>
      </c>
      <c r="U56">
        <v>2</v>
      </c>
      <c r="V56">
        <f>IF(Table1[[#This Row],[mainroad]] = "yes", 1, 0)</f>
        <v>1</v>
      </c>
      <c r="W56">
        <f>IF(Table1[[#This Row],[guestroom]]= "yes", 1, 0)</f>
        <v>1</v>
      </c>
      <c r="X56">
        <f>IF(Table1[[#This Row],[basement]]="yes", 1, 0)</f>
        <v>0</v>
      </c>
      <c r="Y56">
        <f>IF(Table1[[#This Row],[hotwaterheating]]="yes", 1, 0)</f>
        <v>0</v>
      </c>
      <c r="Z56">
        <f>IF(Table1[[#This Row],[airconditioning]]="yes", 1, 0)</f>
        <v>1</v>
      </c>
      <c r="AA56">
        <v>1</v>
      </c>
      <c r="AB56">
        <f>IF(Table1[[#This Row],[prefarea]]= "yes", 1, 0)</f>
        <v>0</v>
      </c>
      <c r="AC56" s="1">
        <v>7350000</v>
      </c>
    </row>
    <row r="57" spans="1:29">
      <c r="A57">
        <v>6000</v>
      </c>
      <c r="B57" t="s">
        <v>17</v>
      </c>
      <c r="C57">
        <v>3</v>
      </c>
      <c r="D57">
        <v>1</v>
      </c>
      <c r="E57">
        <v>2</v>
      </c>
      <c r="F57" t="s">
        <v>13</v>
      </c>
      <c r="G57" t="s">
        <v>14</v>
      </c>
      <c r="H57" t="s">
        <v>14</v>
      </c>
      <c r="I57" t="s">
        <v>14</v>
      </c>
      <c r="J57" t="s">
        <v>13</v>
      </c>
      <c r="K57">
        <v>1</v>
      </c>
      <c r="L57" t="s">
        <v>14</v>
      </c>
      <c r="M57" s="1">
        <v>7350000</v>
      </c>
      <c r="P57">
        <v>6000</v>
      </c>
      <c r="Q57">
        <f>IF(Table1[[#This Row],[furnishingstatus]]="furnished", 1, 0)</f>
        <v>0</v>
      </c>
      <c r="R57">
        <f>IF(Table1[[#This Row],[furnishingstatus]]="semi-furnished", 1, 0)</f>
        <v>0</v>
      </c>
      <c r="S57">
        <v>3</v>
      </c>
      <c r="T57">
        <v>1</v>
      </c>
      <c r="U57">
        <v>2</v>
      </c>
      <c r="V57">
        <f>IF(Table1[[#This Row],[mainroad]] = "yes", 1, 0)</f>
        <v>1</v>
      </c>
      <c r="W57">
        <f>IF(Table1[[#This Row],[guestroom]]= "yes", 1, 0)</f>
        <v>0</v>
      </c>
      <c r="X57">
        <f>IF(Table1[[#This Row],[basement]]="yes", 1, 0)</f>
        <v>0</v>
      </c>
      <c r="Y57">
        <f>IF(Table1[[#This Row],[hotwaterheating]]="yes", 1, 0)</f>
        <v>0</v>
      </c>
      <c r="Z57">
        <f>IF(Table1[[#This Row],[airconditioning]]="yes", 1, 0)</f>
        <v>1</v>
      </c>
      <c r="AA57">
        <v>1</v>
      </c>
      <c r="AB57">
        <f>IF(Table1[[#This Row],[prefarea]]= "yes", 1, 0)</f>
        <v>0</v>
      </c>
      <c r="AC57" s="1">
        <v>7350000</v>
      </c>
    </row>
    <row r="58" spans="1:29">
      <c r="A58">
        <v>11440</v>
      </c>
      <c r="B58" t="s">
        <v>16</v>
      </c>
      <c r="C58">
        <v>4</v>
      </c>
      <c r="D58">
        <v>1</v>
      </c>
      <c r="E58">
        <v>2</v>
      </c>
      <c r="F58" t="s">
        <v>13</v>
      </c>
      <c r="G58" t="s">
        <v>14</v>
      </c>
      <c r="H58" t="s">
        <v>13</v>
      </c>
      <c r="I58" t="s">
        <v>14</v>
      </c>
      <c r="J58" t="s">
        <v>14</v>
      </c>
      <c r="K58">
        <v>1</v>
      </c>
      <c r="L58" t="s">
        <v>13</v>
      </c>
      <c r="M58" s="1">
        <v>7343000</v>
      </c>
      <c r="P58">
        <v>11440</v>
      </c>
      <c r="Q58">
        <f>IF(Table1[[#This Row],[furnishingstatus]]="furnished", 1, 0)</f>
        <v>0</v>
      </c>
      <c r="R58">
        <f>IF(Table1[[#This Row],[furnishingstatus]]="semi-furnished", 1, 0)</f>
        <v>1</v>
      </c>
      <c r="S58">
        <v>4</v>
      </c>
      <c r="T58">
        <v>1</v>
      </c>
      <c r="U58">
        <v>2</v>
      </c>
      <c r="V58">
        <f>IF(Table1[[#This Row],[mainroad]] = "yes", 1, 0)</f>
        <v>1</v>
      </c>
      <c r="W58">
        <f>IF(Table1[[#This Row],[guestroom]]= "yes", 1, 0)</f>
        <v>0</v>
      </c>
      <c r="X58">
        <f>IF(Table1[[#This Row],[basement]]="yes", 1, 0)</f>
        <v>1</v>
      </c>
      <c r="Y58">
        <f>IF(Table1[[#This Row],[hotwaterheating]]="yes", 1, 0)</f>
        <v>0</v>
      </c>
      <c r="Z58">
        <f>IF(Table1[[#This Row],[airconditioning]]="yes", 1, 0)</f>
        <v>0</v>
      </c>
      <c r="AA58">
        <v>1</v>
      </c>
      <c r="AB58">
        <f>IF(Table1[[#This Row],[prefarea]]= "yes", 1, 0)</f>
        <v>1</v>
      </c>
      <c r="AC58" s="1">
        <v>7343000</v>
      </c>
    </row>
    <row r="59" spans="1:29">
      <c r="A59">
        <v>9000</v>
      </c>
      <c r="B59" t="s">
        <v>15</v>
      </c>
      <c r="C59">
        <v>4</v>
      </c>
      <c r="D59">
        <v>2</v>
      </c>
      <c r="E59">
        <v>4</v>
      </c>
      <c r="F59" t="s">
        <v>13</v>
      </c>
      <c r="G59" t="s">
        <v>13</v>
      </c>
      <c r="H59" t="s">
        <v>14</v>
      </c>
      <c r="I59" t="s">
        <v>14</v>
      </c>
      <c r="J59" t="s">
        <v>13</v>
      </c>
      <c r="K59">
        <v>1</v>
      </c>
      <c r="L59" t="s">
        <v>13</v>
      </c>
      <c r="M59" s="1">
        <v>7245000</v>
      </c>
      <c r="P59">
        <v>9000</v>
      </c>
      <c r="Q59">
        <f>IF(Table1[[#This Row],[furnishingstatus]]="furnished", 1, 0)</f>
        <v>1</v>
      </c>
      <c r="R59">
        <f>IF(Table1[[#This Row],[furnishingstatus]]="semi-furnished", 1, 0)</f>
        <v>0</v>
      </c>
      <c r="S59">
        <v>4</v>
      </c>
      <c r="T59">
        <v>2</v>
      </c>
      <c r="U59">
        <v>4</v>
      </c>
      <c r="V59">
        <f>IF(Table1[[#This Row],[mainroad]] = "yes", 1, 0)</f>
        <v>1</v>
      </c>
      <c r="W59">
        <f>IF(Table1[[#This Row],[guestroom]]= "yes", 1, 0)</f>
        <v>1</v>
      </c>
      <c r="X59">
        <f>IF(Table1[[#This Row],[basement]]="yes", 1, 0)</f>
        <v>0</v>
      </c>
      <c r="Y59">
        <f>IF(Table1[[#This Row],[hotwaterheating]]="yes", 1, 0)</f>
        <v>0</v>
      </c>
      <c r="Z59">
        <f>IF(Table1[[#This Row],[airconditioning]]="yes", 1, 0)</f>
        <v>1</v>
      </c>
      <c r="AA59">
        <v>1</v>
      </c>
      <c r="AB59">
        <f>IF(Table1[[#This Row],[prefarea]]= "yes", 1, 0)</f>
        <v>1</v>
      </c>
      <c r="AC59" s="1">
        <v>7245000</v>
      </c>
    </row>
    <row r="60" spans="1:29">
      <c r="A60">
        <v>7680</v>
      </c>
      <c r="B60" t="s">
        <v>16</v>
      </c>
      <c r="C60">
        <v>4</v>
      </c>
      <c r="D60">
        <v>2</v>
      </c>
      <c r="E60">
        <v>4</v>
      </c>
      <c r="F60" t="s">
        <v>13</v>
      </c>
      <c r="G60" t="s">
        <v>13</v>
      </c>
      <c r="H60" t="s">
        <v>14</v>
      </c>
      <c r="I60" t="s">
        <v>14</v>
      </c>
      <c r="J60" t="s">
        <v>13</v>
      </c>
      <c r="K60">
        <v>1</v>
      </c>
      <c r="L60" t="s">
        <v>14</v>
      </c>
      <c r="M60" s="1">
        <v>7210000</v>
      </c>
      <c r="P60">
        <v>7680</v>
      </c>
      <c r="Q60">
        <f>IF(Table1[[#This Row],[furnishingstatus]]="furnished", 1, 0)</f>
        <v>0</v>
      </c>
      <c r="R60">
        <f>IF(Table1[[#This Row],[furnishingstatus]]="semi-furnished", 1, 0)</f>
        <v>1</v>
      </c>
      <c r="S60">
        <v>4</v>
      </c>
      <c r="T60">
        <v>2</v>
      </c>
      <c r="U60">
        <v>4</v>
      </c>
      <c r="V60">
        <f>IF(Table1[[#This Row],[mainroad]] = "yes", 1, 0)</f>
        <v>1</v>
      </c>
      <c r="W60">
        <f>IF(Table1[[#This Row],[guestroom]]= "yes", 1, 0)</f>
        <v>1</v>
      </c>
      <c r="X60">
        <f>IF(Table1[[#This Row],[basement]]="yes", 1, 0)</f>
        <v>0</v>
      </c>
      <c r="Y60">
        <f>IF(Table1[[#This Row],[hotwaterheating]]="yes", 1, 0)</f>
        <v>0</v>
      </c>
      <c r="Z60">
        <f>IF(Table1[[#This Row],[airconditioning]]="yes", 1, 0)</f>
        <v>1</v>
      </c>
      <c r="AA60">
        <v>1</v>
      </c>
      <c r="AB60">
        <f>IF(Table1[[#This Row],[prefarea]]= "yes", 1, 0)</f>
        <v>0</v>
      </c>
      <c r="AC60" s="1">
        <v>7210000</v>
      </c>
    </row>
    <row r="61" spans="1:29">
      <c r="A61">
        <v>6000</v>
      </c>
      <c r="B61" t="s">
        <v>15</v>
      </c>
      <c r="C61">
        <v>3</v>
      </c>
      <c r="D61">
        <v>2</v>
      </c>
      <c r="E61">
        <v>4</v>
      </c>
      <c r="F61" t="s">
        <v>13</v>
      </c>
      <c r="G61" t="s">
        <v>13</v>
      </c>
      <c r="H61" t="s">
        <v>14</v>
      </c>
      <c r="I61" t="s">
        <v>14</v>
      </c>
      <c r="J61" t="s">
        <v>13</v>
      </c>
      <c r="K61">
        <v>1</v>
      </c>
      <c r="L61" t="s">
        <v>14</v>
      </c>
      <c r="M61" s="1">
        <v>7210000</v>
      </c>
      <c r="P61">
        <v>6000</v>
      </c>
      <c r="Q61">
        <f>IF(Table1[[#This Row],[furnishingstatus]]="furnished", 1, 0)</f>
        <v>1</v>
      </c>
      <c r="R61">
        <f>IF(Table1[[#This Row],[furnishingstatus]]="semi-furnished", 1, 0)</f>
        <v>0</v>
      </c>
      <c r="S61">
        <v>3</v>
      </c>
      <c r="T61">
        <v>2</v>
      </c>
      <c r="U61">
        <v>4</v>
      </c>
      <c r="V61">
        <f>IF(Table1[[#This Row],[mainroad]] = "yes", 1, 0)</f>
        <v>1</v>
      </c>
      <c r="W61">
        <f>IF(Table1[[#This Row],[guestroom]]= "yes", 1, 0)</f>
        <v>1</v>
      </c>
      <c r="X61">
        <f>IF(Table1[[#This Row],[basement]]="yes", 1, 0)</f>
        <v>0</v>
      </c>
      <c r="Y61">
        <f>IF(Table1[[#This Row],[hotwaterheating]]="yes", 1, 0)</f>
        <v>0</v>
      </c>
      <c r="Z61">
        <f>IF(Table1[[#This Row],[airconditioning]]="yes", 1, 0)</f>
        <v>1</v>
      </c>
      <c r="AA61">
        <v>1</v>
      </c>
      <c r="AB61">
        <f>IF(Table1[[#This Row],[prefarea]]= "yes", 1, 0)</f>
        <v>0</v>
      </c>
      <c r="AC61" s="1">
        <v>7210000</v>
      </c>
    </row>
    <row r="62" spans="1:29">
      <c r="A62">
        <v>6000</v>
      </c>
      <c r="B62" t="s">
        <v>16</v>
      </c>
      <c r="C62">
        <v>3</v>
      </c>
      <c r="D62">
        <v>2</v>
      </c>
      <c r="E62">
        <v>2</v>
      </c>
      <c r="F62" t="s">
        <v>13</v>
      </c>
      <c r="G62" t="s">
        <v>13</v>
      </c>
      <c r="H62" t="s">
        <v>14</v>
      </c>
      <c r="I62" t="s">
        <v>14</v>
      </c>
      <c r="J62" t="s">
        <v>14</v>
      </c>
      <c r="K62">
        <v>1</v>
      </c>
      <c r="L62" t="s">
        <v>14</v>
      </c>
      <c r="M62" s="1">
        <v>7140000</v>
      </c>
      <c r="P62">
        <v>6000</v>
      </c>
      <c r="Q62">
        <f>IF(Table1[[#This Row],[furnishingstatus]]="furnished", 1, 0)</f>
        <v>0</v>
      </c>
      <c r="R62">
        <f>IF(Table1[[#This Row],[furnishingstatus]]="semi-furnished", 1, 0)</f>
        <v>1</v>
      </c>
      <c r="S62">
        <v>3</v>
      </c>
      <c r="T62">
        <v>2</v>
      </c>
      <c r="U62">
        <v>2</v>
      </c>
      <c r="V62">
        <f>IF(Table1[[#This Row],[mainroad]] = "yes", 1, 0)</f>
        <v>1</v>
      </c>
      <c r="W62">
        <f>IF(Table1[[#This Row],[guestroom]]= "yes", 1, 0)</f>
        <v>1</v>
      </c>
      <c r="X62">
        <f>IF(Table1[[#This Row],[basement]]="yes", 1, 0)</f>
        <v>0</v>
      </c>
      <c r="Y62">
        <f>IF(Table1[[#This Row],[hotwaterheating]]="yes", 1, 0)</f>
        <v>0</v>
      </c>
      <c r="Z62">
        <f>IF(Table1[[#This Row],[airconditioning]]="yes", 1, 0)</f>
        <v>0</v>
      </c>
      <c r="AA62">
        <v>1</v>
      </c>
      <c r="AB62">
        <f>IF(Table1[[#This Row],[prefarea]]= "yes", 1, 0)</f>
        <v>0</v>
      </c>
      <c r="AC62" s="1">
        <v>7140000</v>
      </c>
    </row>
    <row r="63" spans="1:29">
      <c r="A63">
        <v>8880</v>
      </c>
      <c r="B63" t="s">
        <v>16</v>
      </c>
      <c r="C63">
        <v>2</v>
      </c>
      <c r="D63">
        <v>1</v>
      </c>
      <c r="E63">
        <v>1</v>
      </c>
      <c r="F63" t="s">
        <v>13</v>
      </c>
      <c r="G63" t="s">
        <v>14</v>
      </c>
      <c r="H63" t="s">
        <v>14</v>
      </c>
      <c r="I63" t="s">
        <v>14</v>
      </c>
      <c r="J63" t="s">
        <v>13</v>
      </c>
      <c r="K63">
        <v>1</v>
      </c>
      <c r="L63" t="s">
        <v>14</v>
      </c>
      <c r="M63" s="1">
        <v>7070000</v>
      </c>
      <c r="P63">
        <v>8880</v>
      </c>
      <c r="Q63">
        <f>IF(Table1[[#This Row],[furnishingstatus]]="furnished", 1, 0)</f>
        <v>0</v>
      </c>
      <c r="R63">
        <f>IF(Table1[[#This Row],[furnishingstatus]]="semi-furnished", 1, 0)</f>
        <v>1</v>
      </c>
      <c r="S63">
        <v>2</v>
      </c>
      <c r="T63">
        <v>1</v>
      </c>
      <c r="U63">
        <v>1</v>
      </c>
      <c r="V63">
        <f>IF(Table1[[#This Row],[mainroad]] = "yes", 1, 0)</f>
        <v>1</v>
      </c>
      <c r="W63">
        <f>IF(Table1[[#This Row],[guestroom]]= "yes", 1, 0)</f>
        <v>0</v>
      </c>
      <c r="X63">
        <f>IF(Table1[[#This Row],[basement]]="yes", 1, 0)</f>
        <v>0</v>
      </c>
      <c r="Y63">
        <f>IF(Table1[[#This Row],[hotwaterheating]]="yes", 1, 0)</f>
        <v>0</v>
      </c>
      <c r="Z63">
        <f>IF(Table1[[#This Row],[airconditioning]]="yes", 1, 0)</f>
        <v>1</v>
      </c>
      <c r="AA63">
        <v>1</v>
      </c>
      <c r="AB63">
        <f>IF(Table1[[#This Row],[prefarea]]= "yes", 1, 0)</f>
        <v>0</v>
      </c>
      <c r="AC63" s="1">
        <v>7070000</v>
      </c>
    </row>
    <row r="64" spans="1:29">
      <c r="A64">
        <v>6240</v>
      </c>
      <c r="B64" t="s">
        <v>15</v>
      </c>
      <c r="C64">
        <v>4</v>
      </c>
      <c r="D64">
        <v>2</v>
      </c>
      <c r="E64">
        <v>2</v>
      </c>
      <c r="F64" t="s">
        <v>13</v>
      </c>
      <c r="G64" t="s">
        <v>14</v>
      </c>
      <c r="H64" t="s">
        <v>14</v>
      </c>
      <c r="I64" t="s">
        <v>14</v>
      </c>
      <c r="J64" t="s">
        <v>13</v>
      </c>
      <c r="K64">
        <v>1</v>
      </c>
      <c r="L64" t="s">
        <v>14</v>
      </c>
      <c r="M64" s="1">
        <v>7070000</v>
      </c>
      <c r="P64">
        <v>6240</v>
      </c>
      <c r="Q64">
        <f>IF(Table1[[#This Row],[furnishingstatus]]="furnished", 1, 0)</f>
        <v>1</v>
      </c>
      <c r="R64">
        <f>IF(Table1[[#This Row],[furnishingstatus]]="semi-furnished", 1, 0)</f>
        <v>0</v>
      </c>
      <c r="S64">
        <v>4</v>
      </c>
      <c r="T64">
        <v>2</v>
      </c>
      <c r="U64">
        <v>2</v>
      </c>
      <c r="V64">
        <f>IF(Table1[[#This Row],[mainroad]] = "yes", 1, 0)</f>
        <v>1</v>
      </c>
      <c r="W64">
        <f>IF(Table1[[#This Row],[guestroom]]= "yes", 1, 0)</f>
        <v>0</v>
      </c>
      <c r="X64">
        <f>IF(Table1[[#This Row],[basement]]="yes", 1, 0)</f>
        <v>0</v>
      </c>
      <c r="Y64">
        <f>IF(Table1[[#This Row],[hotwaterheating]]="yes", 1, 0)</f>
        <v>0</v>
      </c>
      <c r="Z64">
        <f>IF(Table1[[#This Row],[airconditioning]]="yes", 1, 0)</f>
        <v>1</v>
      </c>
      <c r="AA64">
        <v>1</v>
      </c>
      <c r="AB64">
        <f>IF(Table1[[#This Row],[prefarea]]= "yes", 1, 0)</f>
        <v>0</v>
      </c>
      <c r="AC64" s="1">
        <v>7070000</v>
      </c>
    </row>
    <row r="65" spans="1:29">
      <c r="A65">
        <v>6360</v>
      </c>
      <c r="B65" t="s">
        <v>15</v>
      </c>
      <c r="C65">
        <v>4</v>
      </c>
      <c r="D65">
        <v>2</v>
      </c>
      <c r="E65">
        <v>3</v>
      </c>
      <c r="F65" t="s">
        <v>13</v>
      </c>
      <c r="G65" t="s">
        <v>14</v>
      </c>
      <c r="H65" t="s">
        <v>14</v>
      </c>
      <c r="I65" t="s">
        <v>14</v>
      </c>
      <c r="J65" t="s">
        <v>13</v>
      </c>
      <c r="K65">
        <v>2</v>
      </c>
      <c r="L65" t="s">
        <v>13</v>
      </c>
      <c r="M65" s="1">
        <v>7035000</v>
      </c>
      <c r="P65">
        <v>6360</v>
      </c>
      <c r="Q65">
        <f>IF(Table1[[#This Row],[furnishingstatus]]="furnished", 1, 0)</f>
        <v>1</v>
      </c>
      <c r="R65">
        <f>IF(Table1[[#This Row],[furnishingstatus]]="semi-furnished", 1, 0)</f>
        <v>0</v>
      </c>
      <c r="S65">
        <v>4</v>
      </c>
      <c r="T65">
        <v>2</v>
      </c>
      <c r="U65">
        <v>3</v>
      </c>
      <c r="V65">
        <f>IF(Table1[[#This Row],[mainroad]] = "yes", 1, 0)</f>
        <v>1</v>
      </c>
      <c r="W65">
        <f>IF(Table1[[#This Row],[guestroom]]= "yes", 1, 0)</f>
        <v>0</v>
      </c>
      <c r="X65">
        <f>IF(Table1[[#This Row],[basement]]="yes", 1, 0)</f>
        <v>0</v>
      </c>
      <c r="Y65">
        <f>IF(Table1[[#This Row],[hotwaterheating]]="yes", 1, 0)</f>
        <v>0</v>
      </c>
      <c r="Z65">
        <f>IF(Table1[[#This Row],[airconditioning]]="yes", 1, 0)</f>
        <v>1</v>
      </c>
      <c r="AA65">
        <v>2</v>
      </c>
      <c r="AB65">
        <f>IF(Table1[[#This Row],[prefarea]]= "yes", 1, 0)</f>
        <v>1</v>
      </c>
      <c r="AC65" s="1">
        <v>7035000</v>
      </c>
    </row>
    <row r="66" spans="1:29">
      <c r="A66">
        <v>11175</v>
      </c>
      <c r="B66" t="s">
        <v>15</v>
      </c>
      <c r="C66">
        <v>3</v>
      </c>
      <c r="D66">
        <v>1</v>
      </c>
      <c r="E66">
        <v>1</v>
      </c>
      <c r="F66" t="s">
        <v>13</v>
      </c>
      <c r="G66" t="s">
        <v>14</v>
      </c>
      <c r="H66" t="s">
        <v>13</v>
      </c>
      <c r="I66" t="s">
        <v>14</v>
      </c>
      <c r="J66" t="s">
        <v>13</v>
      </c>
      <c r="K66">
        <v>1</v>
      </c>
      <c r="L66" t="s">
        <v>13</v>
      </c>
      <c r="M66" s="1">
        <v>7000000</v>
      </c>
      <c r="P66">
        <v>11175</v>
      </c>
      <c r="Q66">
        <f>IF(Table1[[#This Row],[furnishingstatus]]="furnished", 1, 0)</f>
        <v>1</v>
      </c>
      <c r="R66">
        <f>IF(Table1[[#This Row],[furnishingstatus]]="semi-furnished", 1, 0)</f>
        <v>0</v>
      </c>
      <c r="S66">
        <v>3</v>
      </c>
      <c r="T66">
        <v>1</v>
      </c>
      <c r="U66">
        <v>1</v>
      </c>
      <c r="V66">
        <f>IF(Table1[[#This Row],[mainroad]] = "yes", 1, 0)</f>
        <v>1</v>
      </c>
      <c r="W66">
        <f>IF(Table1[[#This Row],[guestroom]]= "yes", 1, 0)</f>
        <v>0</v>
      </c>
      <c r="X66">
        <f>IF(Table1[[#This Row],[basement]]="yes", 1, 0)</f>
        <v>1</v>
      </c>
      <c r="Y66">
        <f>IF(Table1[[#This Row],[hotwaterheating]]="yes", 1, 0)</f>
        <v>0</v>
      </c>
      <c r="Z66">
        <f>IF(Table1[[#This Row],[airconditioning]]="yes", 1, 0)</f>
        <v>1</v>
      </c>
      <c r="AA66">
        <v>1</v>
      </c>
      <c r="AB66">
        <f>IF(Table1[[#This Row],[prefarea]]= "yes", 1, 0)</f>
        <v>1</v>
      </c>
      <c r="AC66" s="1">
        <v>7000000</v>
      </c>
    </row>
    <row r="67" spans="1:29">
      <c r="A67">
        <v>8880</v>
      </c>
      <c r="B67" t="s">
        <v>15</v>
      </c>
      <c r="C67">
        <v>3</v>
      </c>
      <c r="D67">
        <v>2</v>
      </c>
      <c r="E67">
        <v>2</v>
      </c>
      <c r="F67" t="s">
        <v>13</v>
      </c>
      <c r="G67" t="s">
        <v>14</v>
      </c>
      <c r="H67" t="s">
        <v>13</v>
      </c>
      <c r="I67" t="s">
        <v>14</v>
      </c>
      <c r="J67" t="s">
        <v>13</v>
      </c>
      <c r="K67">
        <v>1</v>
      </c>
      <c r="L67" t="s">
        <v>14</v>
      </c>
      <c r="M67" s="1">
        <v>6930000</v>
      </c>
      <c r="P67">
        <v>8880</v>
      </c>
      <c r="Q67">
        <f>IF(Table1[[#This Row],[furnishingstatus]]="furnished", 1, 0)</f>
        <v>1</v>
      </c>
      <c r="R67">
        <f>IF(Table1[[#This Row],[furnishingstatus]]="semi-furnished", 1, 0)</f>
        <v>0</v>
      </c>
      <c r="S67">
        <v>3</v>
      </c>
      <c r="T67">
        <v>2</v>
      </c>
      <c r="U67">
        <v>2</v>
      </c>
      <c r="V67">
        <f>IF(Table1[[#This Row],[mainroad]] = "yes", 1, 0)</f>
        <v>1</v>
      </c>
      <c r="W67">
        <f>IF(Table1[[#This Row],[guestroom]]= "yes", 1, 0)</f>
        <v>0</v>
      </c>
      <c r="X67">
        <f>IF(Table1[[#This Row],[basement]]="yes", 1, 0)</f>
        <v>1</v>
      </c>
      <c r="Y67">
        <f>IF(Table1[[#This Row],[hotwaterheating]]="yes", 1, 0)</f>
        <v>0</v>
      </c>
      <c r="Z67">
        <f>IF(Table1[[#This Row],[airconditioning]]="yes", 1, 0)</f>
        <v>1</v>
      </c>
      <c r="AA67">
        <v>1</v>
      </c>
      <c r="AB67">
        <f>IF(Table1[[#This Row],[prefarea]]= "yes", 1, 0)</f>
        <v>0</v>
      </c>
      <c r="AC67" s="1">
        <v>6930000</v>
      </c>
    </row>
    <row r="68" spans="1:29">
      <c r="A68">
        <v>13200</v>
      </c>
      <c r="B68" t="s">
        <v>15</v>
      </c>
      <c r="C68">
        <v>2</v>
      </c>
      <c r="D68">
        <v>1</v>
      </c>
      <c r="E68">
        <v>1</v>
      </c>
      <c r="F68" t="s">
        <v>13</v>
      </c>
      <c r="G68" t="s">
        <v>14</v>
      </c>
      <c r="H68" t="s">
        <v>13</v>
      </c>
      <c r="I68" t="s">
        <v>13</v>
      </c>
      <c r="J68" t="s">
        <v>14</v>
      </c>
      <c r="K68">
        <v>1</v>
      </c>
      <c r="L68" t="s">
        <v>14</v>
      </c>
      <c r="M68" s="1">
        <v>6930000</v>
      </c>
      <c r="P68">
        <v>13200</v>
      </c>
      <c r="Q68">
        <f>IF(Table1[[#This Row],[furnishingstatus]]="furnished", 1, 0)</f>
        <v>1</v>
      </c>
      <c r="R68">
        <f>IF(Table1[[#This Row],[furnishingstatus]]="semi-furnished", 1, 0)</f>
        <v>0</v>
      </c>
      <c r="S68">
        <v>2</v>
      </c>
      <c r="T68">
        <v>1</v>
      </c>
      <c r="U68">
        <v>1</v>
      </c>
      <c r="V68">
        <f>IF(Table1[[#This Row],[mainroad]] = "yes", 1, 0)</f>
        <v>1</v>
      </c>
      <c r="W68">
        <f>IF(Table1[[#This Row],[guestroom]]= "yes", 1, 0)</f>
        <v>0</v>
      </c>
      <c r="X68">
        <f>IF(Table1[[#This Row],[basement]]="yes", 1, 0)</f>
        <v>1</v>
      </c>
      <c r="Y68">
        <f>IF(Table1[[#This Row],[hotwaterheating]]="yes", 1, 0)</f>
        <v>1</v>
      </c>
      <c r="Z68">
        <f>IF(Table1[[#This Row],[airconditioning]]="yes", 1, 0)</f>
        <v>0</v>
      </c>
      <c r="AA68">
        <v>1</v>
      </c>
      <c r="AB68">
        <f>IF(Table1[[#This Row],[prefarea]]= "yes", 1, 0)</f>
        <v>0</v>
      </c>
      <c r="AC68" s="1">
        <v>6930000</v>
      </c>
    </row>
    <row r="69" spans="1:29">
      <c r="A69">
        <v>7700</v>
      </c>
      <c r="B69" t="s">
        <v>17</v>
      </c>
      <c r="C69">
        <v>3</v>
      </c>
      <c r="D69">
        <v>2</v>
      </c>
      <c r="E69">
        <v>1</v>
      </c>
      <c r="F69" t="s">
        <v>13</v>
      </c>
      <c r="G69" t="s">
        <v>14</v>
      </c>
      <c r="H69" t="s">
        <v>14</v>
      </c>
      <c r="I69" t="s">
        <v>14</v>
      </c>
      <c r="J69" t="s">
        <v>14</v>
      </c>
      <c r="K69">
        <v>2</v>
      </c>
      <c r="L69" t="s">
        <v>14</v>
      </c>
      <c r="M69" s="1">
        <v>6895000</v>
      </c>
      <c r="P69">
        <v>7700</v>
      </c>
      <c r="Q69">
        <f>IF(Table1[[#This Row],[furnishingstatus]]="furnished", 1, 0)</f>
        <v>0</v>
      </c>
      <c r="R69">
        <f>IF(Table1[[#This Row],[furnishingstatus]]="semi-furnished", 1, 0)</f>
        <v>0</v>
      </c>
      <c r="S69">
        <v>3</v>
      </c>
      <c r="T69">
        <v>2</v>
      </c>
      <c r="U69">
        <v>1</v>
      </c>
      <c r="V69">
        <f>IF(Table1[[#This Row],[mainroad]] = "yes", 1, 0)</f>
        <v>1</v>
      </c>
      <c r="W69">
        <f>IF(Table1[[#This Row],[guestroom]]= "yes", 1, 0)</f>
        <v>0</v>
      </c>
      <c r="X69">
        <f>IF(Table1[[#This Row],[basement]]="yes", 1, 0)</f>
        <v>0</v>
      </c>
      <c r="Y69">
        <f>IF(Table1[[#This Row],[hotwaterheating]]="yes", 1, 0)</f>
        <v>0</v>
      </c>
      <c r="Z69">
        <f>IF(Table1[[#This Row],[airconditioning]]="yes", 1, 0)</f>
        <v>0</v>
      </c>
      <c r="AA69">
        <v>2</v>
      </c>
      <c r="AB69">
        <f>IF(Table1[[#This Row],[prefarea]]= "yes", 1, 0)</f>
        <v>0</v>
      </c>
      <c r="AC69" s="1">
        <v>6895000</v>
      </c>
    </row>
    <row r="70" spans="1:29">
      <c r="A70">
        <v>6000</v>
      </c>
      <c r="B70" t="s">
        <v>15</v>
      </c>
      <c r="C70">
        <v>3</v>
      </c>
      <c r="D70">
        <v>1</v>
      </c>
      <c r="E70">
        <v>1</v>
      </c>
      <c r="F70" t="s">
        <v>13</v>
      </c>
      <c r="G70" t="s">
        <v>14</v>
      </c>
      <c r="H70" t="s">
        <v>14</v>
      </c>
      <c r="I70" t="s">
        <v>14</v>
      </c>
      <c r="J70" t="s">
        <v>13</v>
      </c>
      <c r="K70">
        <v>1</v>
      </c>
      <c r="L70" t="s">
        <v>14</v>
      </c>
      <c r="M70" s="1">
        <v>6860000</v>
      </c>
      <c r="P70">
        <v>6000</v>
      </c>
      <c r="Q70">
        <f>IF(Table1[[#This Row],[furnishingstatus]]="furnished", 1, 0)</f>
        <v>1</v>
      </c>
      <c r="R70">
        <f>IF(Table1[[#This Row],[furnishingstatus]]="semi-furnished", 1, 0)</f>
        <v>0</v>
      </c>
      <c r="S70">
        <v>3</v>
      </c>
      <c r="T70">
        <v>1</v>
      </c>
      <c r="U70">
        <v>1</v>
      </c>
      <c r="V70">
        <f>IF(Table1[[#This Row],[mainroad]] = "yes", 1, 0)</f>
        <v>1</v>
      </c>
      <c r="W70">
        <f>IF(Table1[[#This Row],[guestroom]]= "yes", 1, 0)</f>
        <v>0</v>
      </c>
      <c r="X70">
        <f>IF(Table1[[#This Row],[basement]]="yes", 1, 0)</f>
        <v>0</v>
      </c>
      <c r="Y70">
        <f>IF(Table1[[#This Row],[hotwaterheating]]="yes", 1, 0)</f>
        <v>0</v>
      </c>
      <c r="Z70">
        <f>IF(Table1[[#This Row],[airconditioning]]="yes", 1, 0)</f>
        <v>1</v>
      </c>
      <c r="AA70">
        <v>1</v>
      </c>
      <c r="AB70">
        <f>IF(Table1[[#This Row],[prefarea]]= "yes", 1, 0)</f>
        <v>0</v>
      </c>
      <c r="AC70" s="1">
        <v>6860000</v>
      </c>
    </row>
    <row r="71" spans="1:29">
      <c r="A71">
        <v>12090</v>
      </c>
      <c r="B71" t="s">
        <v>15</v>
      </c>
      <c r="C71">
        <v>4</v>
      </c>
      <c r="D71">
        <v>2</v>
      </c>
      <c r="E71">
        <v>2</v>
      </c>
      <c r="F71" t="s">
        <v>13</v>
      </c>
      <c r="G71" t="s">
        <v>14</v>
      </c>
      <c r="H71" t="s">
        <v>14</v>
      </c>
      <c r="I71" t="s">
        <v>14</v>
      </c>
      <c r="J71" t="s">
        <v>14</v>
      </c>
      <c r="K71">
        <v>2</v>
      </c>
      <c r="L71" t="s">
        <v>13</v>
      </c>
      <c r="M71" s="1">
        <v>6790000</v>
      </c>
      <c r="P71">
        <v>12090</v>
      </c>
      <c r="Q71">
        <f>IF(Table1[[#This Row],[furnishingstatus]]="furnished", 1, 0)</f>
        <v>1</v>
      </c>
      <c r="R71">
        <f>IF(Table1[[#This Row],[furnishingstatus]]="semi-furnished", 1, 0)</f>
        <v>0</v>
      </c>
      <c r="S71">
        <v>4</v>
      </c>
      <c r="T71">
        <v>2</v>
      </c>
      <c r="U71">
        <v>2</v>
      </c>
      <c r="V71">
        <f>IF(Table1[[#This Row],[mainroad]] = "yes", 1, 0)</f>
        <v>1</v>
      </c>
      <c r="W71">
        <f>IF(Table1[[#This Row],[guestroom]]= "yes", 1, 0)</f>
        <v>0</v>
      </c>
      <c r="X71">
        <f>IF(Table1[[#This Row],[basement]]="yes", 1, 0)</f>
        <v>0</v>
      </c>
      <c r="Y71">
        <f>IF(Table1[[#This Row],[hotwaterheating]]="yes", 1, 0)</f>
        <v>0</v>
      </c>
      <c r="Z71">
        <f>IF(Table1[[#This Row],[airconditioning]]="yes", 1, 0)</f>
        <v>0</v>
      </c>
      <c r="AA71">
        <v>2</v>
      </c>
      <c r="AB71">
        <f>IF(Table1[[#This Row],[prefarea]]= "yes", 1, 0)</f>
        <v>1</v>
      </c>
      <c r="AC71" s="1">
        <v>6790000</v>
      </c>
    </row>
    <row r="72" spans="1:29">
      <c r="A72">
        <v>4000</v>
      </c>
      <c r="B72" t="s">
        <v>16</v>
      </c>
      <c r="C72">
        <v>3</v>
      </c>
      <c r="D72">
        <v>2</v>
      </c>
      <c r="E72">
        <v>2</v>
      </c>
      <c r="F72" t="s">
        <v>13</v>
      </c>
      <c r="G72" t="s">
        <v>14</v>
      </c>
      <c r="H72" t="s">
        <v>13</v>
      </c>
      <c r="I72" t="s">
        <v>14</v>
      </c>
      <c r="J72" t="s">
        <v>13</v>
      </c>
      <c r="K72">
        <v>0</v>
      </c>
      <c r="L72" t="s">
        <v>13</v>
      </c>
      <c r="M72" s="1">
        <v>6790000</v>
      </c>
      <c r="P72">
        <v>4000</v>
      </c>
      <c r="Q72">
        <f>IF(Table1[[#This Row],[furnishingstatus]]="furnished", 1, 0)</f>
        <v>0</v>
      </c>
      <c r="R72">
        <f>IF(Table1[[#This Row],[furnishingstatus]]="semi-furnished", 1, 0)</f>
        <v>1</v>
      </c>
      <c r="S72">
        <v>3</v>
      </c>
      <c r="T72">
        <v>2</v>
      </c>
      <c r="U72">
        <v>2</v>
      </c>
      <c r="V72">
        <f>IF(Table1[[#This Row],[mainroad]] = "yes", 1, 0)</f>
        <v>1</v>
      </c>
      <c r="W72">
        <f>IF(Table1[[#This Row],[guestroom]]= "yes", 1, 0)</f>
        <v>0</v>
      </c>
      <c r="X72">
        <f>IF(Table1[[#This Row],[basement]]="yes", 1, 0)</f>
        <v>1</v>
      </c>
      <c r="Y72">
        <f>IF(Table1[[#This Row],[hotwaterheating]]="yes", 1, 0)</f>
        <v>0</v>
      </c>
      <c r="Z72">
        <f>IF(Table1[[#This Row],[airconditioning]]="yes", 1, 0)</f>
        <v>1</v>
      </c>
      <c r="AA72">
        <v>0</v>
      </c>
      <c r="AB72">
        <f>IF(Table1[[#This Row],[prefarea]]= "yes", 1, 0)</f>
        <v>1</v>
      </c>
      <c r="AC72" s="1">
        <v>6790000</v>
      </c>
    </row>
    <row r="73" spans="1:29">
      <c r="A73">
        <v>6000</v>
      </c>
      <c r="B73" t="s">
        <v>17</v>
      </c>
      <c r="C73">
        <v>4</v>
      </c>
      <c r="D73">
        <v>2</v>
      </c>
      <c r="E73">
        <v>4</v>
      </c>
      <c r="F73" t="s">
        <v>13</v>
      </c>
      <c r="G73" t="s">
        <v>14</v>
      </c>
      <c r="H73" t="s">
        <v>14</v>
      </c>
      <c r="I73" t="s">
        <v>14</v>
      </c>
      <c r="J73" t="s">
        <v>13</v>
      </c>
      <c r="K73">
        <v>0</v>
      </c>
      <c r="L73" t="s">
        <v>14</v>
      </c>
      <c r="M73" s="1">
        <v>6755000</v>
      </c>
      <c r="P73">
        <v>6000</v>
      </c>
      <c r="Q73">
        <f>IF(Table1[[#This Row],[furnishingstatus]]="furnished", 1, 0)</f>
        <v>0</v>
      </c>
      <c r="R73">
        <f>IF(Table1[[#This Row],[furnishingstatus]]="semi-furnished", 1, 0)</f>
        <v>0</v>
      </c>
      <c r="S73">
        <v>4</v>
      </c>
      <c r="T73">
        <v>2</v>
      </c>
      <c r="U73">
        <v>4</v>
      </c>
      <c r="V73">
        <f>IF(Table1[[#This Row],[mainroad]] = "yes", 1, 0)</f>
        <v>1</v>
      </c>
      <c r="W73">
        <f>IF(Table1[[#This Row],[guestroom]]= "yes", 1, 0)</f>
        <v>0</v>
      </c>
      <c r="X73">
        <f>IF(Table1[[#This Row],[basement]]="yes", 1, 0)</f>
        <v>0</v>
      </c>
      <c r="Y73">
        <f>IF(Table1[[#This Row],[hotwaterheating]]="yes", 1, 0)</f>
        <v>0</v>
      </c>
      <c r="Z73">
        <f>IF(Table1[[#This Row],[airconditioning]]="yes", 1, 0)</f>
        <v>1</v>
      </c>
      <c r="AA73">
        <v>0</v>
      </c>
      <c r="AB73">
        <f>IF(Table1[[#This Row],[prefarea]]= "yes", 1, 0)</f>
        <v>0</v>
      </c>
      <c r="AC73" s="1">
        <v>6755000</v>
      </c>
    </row>
    <row r="74" spans="1:29">
      <c r="A74">
        <v>5020</v>
      </c>
      <c r="B74" t="s">
        <v>17</v>
      </c>
      <c r="C74">
        <v>3</v>
      </c>
      <c r="D74">
        <v>1</v>
      </c>
      <c r="E74">
        <v>4</v>
      </c>
      <c r="F74" t="s">
        <v>13</v>
      </c>
      <c r="G74" t="s">
        <v>14</v>
      </c>
      <c r="H74" t="s">
        <v>14</v>
      </c>
      <c r="I74" t="s">
        <v>14</v>
      </c>
      <c r="J74" t="s">
        <v>13</v>
      </c>
      <c r="K74">
        <v>0</v>
      </c>
      <c r="L74" t="s">
        <v>13</v>
      </c>
      <c r="M74" s="1">
        <v>6720000</v>
      </c>
      <c r="P74">
        <v>5020</v>
      </c>
      <c r="Q74">
        <f>IF(Table1[[#This Row],[furnishingstatus]]="furnished", 1, 0)</f>
        <v>0</v>
      </c>
      <c r="R74">
        <f>IF(Table1[[#This Row],[furnishingstatus]]="semi-furnished", 1, 0)</f>
        <v>0</v>
      </c>
      <c r="S74">
        <v>3</v>
      </c>
      <c r="T74">
        <v>1</v>
      </c>
      <c r="U74">
        <v>4</v>
      </c>
      <c r="V74">
        <f>IF(Table1[[#This Row],[mainroad]] = "yes", 1, 0)</f>
        <v>1</v>
      </c>
      <c r="W74">
        <f>IF(Table1[[#This Row],[guestroom]]= "yes", 1, 0)</f>
        <v>0</v>
      </c>
      <c r="X74">
        <f>IF(Table1[[#This Row],[basement]]="yes", 1, 0)</f>
        <v>0</v>
      </c>
      <c r="Y74">
        <f>IF(Table1[[#This Row],[hotwaterheating]]="yes", 1, 0)</f>
        <v>0</v>
      </c>
      <c r="Z74">
        <f>IF(Table1[[#This Row],[airconditioning]]="yes", 1, 0)</f>
        <v>1</v>
      </c>
      <c r="AA74">
        <v>0</v>
      </c>
      <c r="AB74">
        <f>IF(Table1[[#This Row],[prefarea]]= "yes", 1, 0)</f>
        <v>1</v>
      </c>
      <c r="AC74" s="1">
        <v>6720000</v>
      </c>
    </row>
    <row r="75" spans="1:29">
      <c r="A75">
        <v>6600</v>
      </c>
      <c r="B75" t="s">
        <v>15</v>
      </c>
      <c r="C75">
        <v>2</v>
      </c>
      <c r="D75">
        <v>2</v>
      </c>
      <c r="E75">
        <v>4</v>
      </c>
      <c r="F75" t="s">
        <v>13</v>
      </c>
      <c r="G75" t="s">
        <v>14</v>
      </c>
      <c r="H75" t="s">
        <v>13</v>
      </c>
      <c r="I75" t="s">
        <v>14</v>
      </c>
      <c r="J75" t="s">
        <v>14</v>
      </c>
      <c r="K75">
        <v>0</v>
      </c>
      <c r="L75" t="s">
        <v>13</v>
      </c>
      <c r="M75" s="1">
        <v>6685000</v>
      </c>
      <c r="P75">
        <v>6600</v>
      </c>
      <c r="Q75">
        <f>IF(Table1[[#This Row],[furnishingstatus]]="furnished", 1, 0)</f>
        <v>1</v>
      </c>
      <c r="R75">
        <f>IF(Table1[[#This Row],[furnishingstatus]]="semi-furnished", 1, 0)</f>
        <v>0</v>
      </c>
      <c r="S75">
        <v>2</v>
      </c>
      <c r="T75">
        <v>2</v>
      </c>
      <c r="U75">
        <v>4</v>
      </c>
      <c r="V75">
        <f>IF(Table1[[#This Row],[mainroad]] = "yes", 1, 0)</f>
        <v>1</v>
      </c>
      <c r="W75">
        <f>IF(Table1[[#This Row],[guestroom]]= "yes", 1, 0)</f>
        <v>0</v>
      </c>
      <c r="X75">
        <f>IF(Table1[[#This Row],[basement]]="yes", 1, 0)</f>
        <v>1</v>
      </c>
      <c r="Y75">
        <f>IF(Table1[[#This Row],[hotwaterheating]]="yes", 1, 0)</f>
        <v>0</v>
      </c>
      <c r="Z75">
        <f>IF(Table1[[#This Row],[airconditioning]]="yes", 1, 0)</f>
        <v>0</v>
      </c>
      <c r="AA75">
        <v>0</v>
      </c>
      <c r="AB75">
        <f>IF(Table1[[#This Row],[prefarea]]= "yes", 1, 0)</f>
        <v>1</v>
      </c>
      <c r="AC75" s="1">
        <v>6685000</v>
      </c>
    </row>
    <row r="76" spans="1:29">
      <c r="A76">
        <v>4040</v>
      </c>
      <c r="B76" t="s">
        <v>15</v>
      </c>
      <c r="C76">
        <v>3</v>
      </c>
      <c r="D76">
        <v>1</v>
      </c>
      <c r="E76">
        <v>2</v>
      </c>
      <c r="F76" t="s">
        <v>13</v>
      </c>
      <c r="G76" t="s">
        <v>14</v>
      </c>
      <c r="H76" t="s">
        <v>13</v>
      </c>
      <c r="I76" t="s">
        <v>13</v>
      </c>
      <c r="J76" t="s">
        <v>14</v>
      </c>
      <c r="K76">
        <v>1</v>
      </c>
      <c r="L76" t="s">
        <v>14</v>
      </c>
      <c r="M76" s="1">
        <v>6650000</v>
      </c>
      <c r="P76">
        <v>4040</v>
      </c>
      <c r="Q76">
        <f>IF(Table1[[#This Row],[furnishingstatus]]="furnished", 1, 0)</f>
        <v>1</v>
      </c>
      <c r="R76">
        <f>IF(Table1[[#This Row],[furnishingstatus]]="semi-furnished", 1, 0)</f>
        <v>0</v>
      </c>
      <c r="S76">
        <v>3</v>
      </c>
      <c r="T76">
        <v>1</v>
      </c>
      <c r="U76">
        <v>2</v>
      </c>
      <c r="V76">
        <f>IF(Table1[[#This Row],[mainroad]] = "yes", 1, 0)</f>
        <v>1</v>
      </c>
      <c r="W76">
        <f>IF(Table1[[#This Row],[guestroom]]= "yes", 1, 0)</f>
        <v>0</v>
      </c>
      <c r="X76">
        <f>IF(Table1[[#This Row],[basement]]="yes", 1, 0)</f>
        <v>1</v>
      </c>
      <c r="Y76">
        <f>IF(Table1[[#This Row],[hotwaterheating]]="yes", 1, 0)</f>
        <v>1</v>
      </c>
      <c r="Z76">
        <f>IF(Table1[[#This Row],[airconditioning]]="yes", 1, 0)</f>
        <v>0</v>
      </c>
      <c r="AA76">
        <v>1</v>
      </c>
      <c r="AB76">
        <f>IF(Table1[[#This Row],[prefarea]]= "yes", 1, 0)</f>
        <v>0</v>
      </c>
      <c r="AC76" s="1">
        <v>6650000</v>
      </c>
    </row>
    <row r="77" spans="1:29">
      <c r="A77">
        <v>4260</v>
      </c>
      <c r="B77" t="s">
        <v>16</v>
      </c>
      <c r="C77">
        <v>4</v>
      </c>
      <c r="D77">
        <v>2</v>
      </c>
      <c r="E77">
        <v>2</v>
      </c>
      <c r="F77" t="s">
        <v>13</v>
      </c>
      <c r="G77" t="s">
        <v>14</v>
      </c>
      <c r="H77" t="s">
        <v>14</v>
      </c>
      <c r="I77" t="s">
        <v>13</v>
      </c>
      <c r="J77" t="s">
        <v>14</v>
      </c>
      <c r="K77">
        <v>0</v>
      </c>
      <c r="L77" t="s">
        <v>14</v>
      </c>
      <c r="M77" s="1">
        <v>6650000</v>
      </c>
      <c r="P77">
        <v>4260</v>
      </c>
      <c r="Q77">
        <f>IF(Table1[[#This Row],[furnishingstatus]]="furnished", 1, 0)</f>
        <v>0</v>
      </c>
      <c r="R77">
        <f>IF(Table1[[#This Row],[furnishingstatus]]="semi-furnished", 1, 0)</f>
        <v>1</v>
      </c>
      <c r="S77">
        <v>4</v>
      </c>
      <c r="T77">
        <v>2</v>
      </c>
      <c r="U77">
        <v>2</v>
      </c>
      <c r="V77">
        <f>IF(Table1[[#This Row],[mainroad]] = "yes", 1, 0)</f>
        <v>1</v>
      </c>
      <c r="W77">
        <f>IF(Table1[[#This Row],[guestroom]]= "yes", 1, 0)</f>
        <v>0</v>
      </c>
      <c r="X77">
        <f>IF(Table1[[#This Row],[basement]]="yes", 1, 0)</f>
        <v>0</v>
      </c>
      <c r="Y77">
        <f>IF(Table1[[#This Row],[hotwaterheating]]="yes", 1, 0)</f>
        <v>1</v>
      </c>
      <c r="Z77">
        <f>IF(Table1[[#This Row],[airconditioning]]="yes", 1, 0)</f>
        <v>0</v>
      </c>
      <c r="AA77">
        <v>0</v>
      </c>
      <c r="AB77">
        <f>IF(Table1[[#This Row],[prefarea]]= "yes", 1, 0)</f>
        <v>0</v>
      </c>
      <c r="AC77" s="1">
        <v>6650000</v>
      </c>
    </row>
    <row r="78" spans="1:29">
      <c r="A78">
        <v>6420</v>
      </c>
      <c r="B78" t="s">
        <v>15</v>
      </c>
      <c r="C78">
        <v>3</v>
      </c>
      <c r="D78">
        <v>2</v>
      </c>
      <c r="E78">
        <v>3</v>
      </c>
      <c r="F78" t="s">
        <v>13</v>
      </c>
      <c r="G78" t="s">
        <v>14</v>
      </c>
      <c r="H78" t="s">
        <v>14</v>
      </c>
      <c r="I78" t="s">
        <v>14</v>
      </c>
      <c r="J78" t="s">
        <v>13</v>
      </c>
      <c r="K78">
        <v>0</v>
      </c>
      <c r="L78" t="s">
        <v>13</v>
      </c>
      <c r="M78" s="1">
        <v>6650000</v>
      </c>
      <c r="P78">
        <v>6420</v>
      </c>
      <c r="Q78">
        <f>IF(Table1[[#This Row],[furnishingstatus]]="furnished", 1, 0)</f>
        <v>1</v>
      </c>
      <c r="R78">
        <f>IF(Table1[[#This Row],[furnishingstatus]]="semi-furnished", 1, 0)</f>
        <v>0</v>
      </c>
      <c r="S78">
        <v>3</v>
      </c>
      <c r="T78">
        <v>2</v>
      </c>
      <c r="U78">
        <v>3</v>
      </c>
      <c r="V78">
        <f>IF(Table1[[#This Row],[mainroad]] = "yes", 1, 0)</f>
        <v>1</v>
      </c>
      <c r="W78">
        <f>IF(Table1[[#This Row],[guestroom]]= "yes", 1, 0)</f>
        <v>0</v>
      </c>
      <c r="X78">
        <f>IF(Table1[[#This Row],[basement]]="yes", 1, 0)</f>
        <v>0</v>
      </c>
      <c r="Y78">
        <f>IF(Table1[[#This Row],[hotwaterheating]]="yes", 1, 0)</f>
        <v>0</v>
      </c>
      <c r="Z78">
        <f>IF(Table1[[#This Row],[airconditioning]]="yes", 1, 0)</f>
        <v>1</v>
      </c>
      <c r="AA78">
        <v>0</v>
      </c>
      <c r="AB78">
        <f>IF(Table1[[#This Row],[prefarea]]= "yes", 1, 0)</f>
        <v>1</v>
      </c>
      <c r="AC78" s="1">
        <v>6650000</v>
      </c>
    </row>
    <row r="79" spans="1:29">
      <c r="A79">
        <v>6500</v>
      </c>
      <c r="B79" t="s">
        <v>15</v>
      </c>
      <c r="C79">
        <v>3</v>
      </c>
      <c r="D79">
        <v>2</v>
      </c>
      <c r="E79">
        <v>3</v>
      </c>
      <c r="F79" t="s">
        <v>13</v>
      </c>
      <c r="G79" t="s">
        <v>14</v>
      </c>
      <c r="H79" t="s">
        <v>14</v>
      </c>
      <c r="I79" t="s">
        <v>14</v>
      </c>
      <c r="J79" t="s">
        <v>13</v>
      </c>
      <c r="K79">
        <v>0</v>
      </c>
      <c r="L79" t="s">
        <v>13</v>
      </c>
      <c r="M79" s="1">
        <v>6650000</v>
      </c>
      <c r="P79">
        <v>6500</v>
      </c>
      <c r="Q79">
        <f>IF(Table1[[#This Row],[furnishingstatus]]="furnished", 1, 0)</f>
        <v>1</v>
      </c>
      <c r="R79">
        <f>IF(Table1[[#This Row],[furnishingstatus]]="semi-furnished", 1, 0)</f>
        <v>0</v>
      </c>
      <c r="S79">
        <v>3</v>
      </c>
      <c r="T79">
        <v>2</v>
      </c>
      <c r="U79">
        <v>3</v>
      </c>
      <c r="V79">
        <f>IF(Table1[[#This Row],[mainroad]] = "yes", 1, 0)</f>
        <v>1</v>
      </c>
      <c r="W79">
        <f>IF(Table1[[#This Row],[guestroom]]= "yes", 1, 0)</f>
        <v>0</v>
      </c>
      <c r="X79">
        <f>IF(Table1[[#This Row],[basement]]="yes", 1, 0)</f>
        <v>0</v>
      </c>
      <c r="Y79">
        <f>IF(Table1[[#This Row],[hotwaterheating]]="yes", 1, 0)</f>
        <v>0</v>
      </c>
      <c r="Z79">
        <f>IF(Table1[[#This Row],[airconditioning]]="yes", 1, 0)</f>
        <v>1</v>
      </c>
      <c r="AA79">
        <v>0</v>
      </c>
      <c r="AB79">
        <f>IF(Table1[[#This Row],[prefarea]]= "yes", 1, 0)</f>
        <v>1</v>
      </c>
      <c r="AC79" s="1">
        <v>6650000</v>
      </c>
    </row>
    <row r="80" spans="1:29">
      <c r="A80">
        <v>5700</v>
      </c>
      <c r="B80" t="s">
        <v>15</v>
      </c>
      <c r="C80">
        <v>3</v>
      </c>
      <c r="D80">
        <v>1</v>
      </c>
      <c r="E80">
        <v>1</v>
      </c>
      <c r="F80" t="s">
        <v>13</v>
      </c>
      <c r="G80" t="s">
        <v>13</v>
      </c>
      <c r="H80" t="s">
        <v>13</v>
      </c>
      <c r="I80" t="s">
        <v>14</v>
      </c>
      <c r="J80" t="s">
        <v>13</v>
      </c>
      <c r="K80">
        <v>2</v>
      </c>
      <c r="L80" t="s">
        <v>13</v>
      </c>
      <c r="M80" s="1">
        <v>6650000</v>
      </c>
      <c r="P80">
        <v>5700</v>
      </c>
      <c r="Q80">
        <f>IF(Table1[[#This Row],[furnishingstatus]]="furnished", 1, 0)</f>
        <v>1</v>
      </c>
      <c r="R80">
        <f>IF(Table1[[#This Row],[furnishingstatus]]="semi-furnished", 1, 0)</f>
        <v>0</v>
      </c>
      <c r="S80">
        <v>3</v>
      </c>
      <c r="T80">
        <v>1</v>
      </c>
      <c r="U80">
        <v>1</v>
      </c>
      <c r="V80">
        <f>IF(Table1[[#This Row],[mainroad]] = "yes", 1, 0)</f>
        <v>1</v>
      </c>
      <c r="W80">
        <f>IF(Table1[[#This Row],[guestroom]]= "yes", 1, 0)</f>
        <v>1</v>
      </c>
      <c r="X80">
        <f>IF(Table1[[#This Row],[basement]]="yes", 1, 0)</f>
        <v>1</v>
      </c>
      <c r="Y80">
        <f>IF(Table1[[#This Row],[hotwaterheating]]="yes", 1, 0)</f>
        <v>0</v>
      </c>
      <c r="Z80">
        <f>IF(Table1[[#This Row],[airconditioning]]="yes", 1, 0)</f>
        <v>1</v>
      </c>
      <c r="AA80">
        <v>2</v>
      </c>
      <c r="AB80">
        <f>IF(Table1[[#This Row],[prefarea]]= "yes", 1, 0)</f>
        <v>1</v>
      </c>
      <c r="AC80" s="1">
        <v>6650000</v>
      </c>
    </row>
    <row r="81" spans="1:29">
      <c r="A81">
        <v>6000</v>
      </c>
      <c r="B81" t="s">
        <v>15</v>
      </c>
      <c r="C81">
        <v>3</v>
      </c>
      <c r="D81">
        <v>2</v>
      </c>
      <c r="E81">
        <v>3</v>
      </c>
      <c r="F81" t="s">
        <v>13</v>
      </c>
      <c r="G81" t="s">
        <v>13</v>
      </c>
      <c r="H81" t="s">
        <v>14</v>
      </c>
      <c r="I81" t="s">
        <v>14</v>
      </c>
      <c r="J81" t="s">
        <v>13</v>
      </c>
      <c r="K81">
        <v>0</v>
      </c>
      <c r="L81" t="s">
        <v>14</v>
      </c>
      <c r="M81" s="1">
        <v>6650000</v>
      </c>
      <c r="P81">
        <v>6000</v>
      </c>
      <c r="Q81">
        <f>IF(Table1[[#This Row],[furnishingstatus]]="furnished", 1, 0)</f>
        <v>1</v>
      </c>
      <c r="R81">
        <f>IF(Table1[[#This Row],[furnishingstatus]]="semi-furnished", 1, 0)</f>
        <v>0</v>
      </c>
      <c r="S81">
        <v>3</v>
      </c>
      <c r="T81">
        <v>2</v>
      </c>
      <c r="U81">
        <v>3</v>
      </c>
      <c r="V81">
        <f>IF(Table1[[#This Row],[mainroad]] = "yes", 1, 0)</f>
        <v>1</v>
      </c>
      <c r="W81">
        <f>IF(Table1[[#This Row],[guestroom]]= "yes", 1, 0)</f>
        <v>1</v>
      </c>
      <c r="X81">
        <f>IF(Table1[[#This Row],[basement]]="yes", 1, 0)</f>
        <v>0</v>
      </c>
      <c r="Y81">
        <f>IF(Table1[[#This Row],[hotwaterheating]]="yes", 1, 0)</f>
        <v>0</v>
      </c>
      <c r="Z81">
        <f>IF(Table1[[#This Row],[airconditioning]]="yes", 1, 0)</f>
        <v>1</v>
      </c>
      <c r="AA81">
        <v>0</v>
      </c>
      <c r="AB81">
        <f>IF(Table1[[#This Row],[prefarea]]= "yes", 1, 0)</f>
        <v>0</v>
      </c>
      <c r="AC81" s="1">
        <v>6650000</v>
      </c>
    </row>
    <row r="82" spans="1:29">
      <c r="A82">
        <v>6000</v>
      </c>
      <c r="B82" t="s">
        <v>16</v>
      </c>
      <c r="C82">
        <v>3</v>
      </c>
      <c r="D82">
        <v>1</v>
      </c>
      <c r="E82">
        <v>2</v>
      </c>
      <c r="F82" t="s">
        <v>13</v>
      </c>
      <c r="G82" t="s">
        <v>14</v>
      </c>
      <c r="H82" t="s">
        <v>14</v>
      </c>
      <c r="I82" t="s">
        <v>13</v>
      </c>
      <c r="J82" t="s">
        <v>14</v>
      </c>
      <c r="K82">
        <v>1</v>
      </c>
      <c r="L82" t="s">
        <v>13</v>
      </c>
      <c r="M82" s="1">
        <v>6629000</v>
      </c>
      <c r="P82">
        <v>6000</v>
      </c>
      <c r="Q82">
        <f>IF(Table1[[#This Row],[furnishingstatus]]="furnished", 1, 0)</f>
        <v>0</v>
      </c>
      <c r="R82">
        <f>IF(Table1[[#This Row],[furnishingstatus]]="semi-furnished", 1, 0)</f>
        <v>1</v>
      </c>
      <c r="S82">
        <v>3</v>
      </c>
      <c r="T82">
        <v>1</v>
      </c>
      <c r="U82">
        <v>2</v>
      </c>
      <c r="V82">
        <f>IF(Table1[[#This Row],[mainroad]] = "yes", 1, 0)</f>
        <v>1</v>
      </c>
      <c r="W82">
        <f>IF(Table1[[#This Row],[guestroom]]= "yes", 1, 0)</f>
        <v>0</v>
      </c>
      <c r="X82">
        <f>IF(Table1[[#This Row],[basement]]="yes", 1, 0)</f>
        <v>0</v>
      </c>
      <c r="Y82">
        <f>IF(Table1[[#This Row],[hotwaterheating]]="yes", 1, 0)</f>
        <v>1</v>
      </c>
      <c r="Z82">
        <f>IF(Table1[[#This Row],[airconditioning]]="yes", 1, 0)</f>
        <v>0</v>
      </c>
      <c r="AA82">
        <v>1</v>
      </c>
      <c r="AB82">
        <f>IF(Table1[[#This Row],[prefarea]]= "yes", 1, 0)</f>
        <v>1</v>
      </c>
      <c r="AC82" s="1">
        <v>6629000</v>
      </c>
    </row>
    <row r="83" spans="1:29">
      <c r="A83">
        <v>4000</v>
      </c>
      <c r="B83" t="s">
        <v>16</v>
      </c>
      <c r="C83">
        <v>3</v>
      </c>
      <c r="D83">
        <v>2</v>
      </c>
      <c r="E83">
        <v>2</v>
      </c>
      <c r="F83" t="s">
        <v>13</v>
      </c>
      <c r="G83" t="s">
        <v>14</v>
      </c>
      <c r="H83" t="s">
        <v>13</v>
      </c>
      <c r="I83" t="s">
        <v>14</v>
      </c>
      <c r="J83" t="s">
        <v>13</v>
      </c>
      <c r="K83">
        <v>1</v>
      </c>
      <c r="L83" t="s">
        <v>14</v>
      </c>
      <c r="M83" s="1">
        <v>6615000</v>
      </c>
      <c r="P83">
        <v>4000</v>
      </c>
      <c r="Q83">
        <f>IF(Table1[[#This Row],[furnishingstatus]]="furnished", 1, 0)</f>
        <v>0</v>
      </c>
      <c r="R83">
        <f>IF(Table1[[#This Row],[furnishingstatus]]="semi-furnished", 1, 0)</f>
        <v>1</v>
      </c>
      <c r="S83">
        <v>3</v>
      </c>
      <c r="T83">
        <v>2</v>
      </c>
      <c r="U83">
        <v>2</v>
      </c>
      <c r="V83">
        <f>IF(Table1[[#This Row],[mainroad]] = "yes", 1, 0)</f>
        <v>1</v>
      </c>
      <c r="W83">
        <f>IF(Table1[[#This Row],[guestroom]]= "yes", 1, 0)</f>
        <v>0</v>
      </c>
      <c r="X83">
        <f>IF(Table1[[#This Row],[basement]]="yes", 1, 0)</f>
        <v>1</v>
      </c>
      <c r="Y83">
        <f>IF(Table1[[#This Row],[hotwaterheating]]="yes", 1, 0)</f>
        <v>0</v>
      </c>
      <c r="Z83">
        <f>IF(Table1[[#This Row],[airconditioning]]="yes", 1, 0)</f>
        <v>1</v>
      </c>
      <c r="AA83">
        <v>1</v>
      </c>
      <c r="AB83">
        <f>IF(Table1[[#This Row],[prefarea]]= "yes", 1, 0)</f>
        <v>0</v>
      </c>
      <c r="AC83" s="1">
        <v>6615000</v>
      </c>
    </row>
    <row r="84" spans="1:29">
      <c r="A84">
        <v>10500</v>
      </c>
      <c r="B84" t="s">
        <v>15</v>
      </c>
      <c r="C84">
        <v>3</v>
      </c>
      <c r="D84">
        <v>2</v>
      </c>
      <c r="E84">
        <v>1</v>
      </c>
      <c r="F84" t="s">
        <v>13</v>
      </c>
      <c r="G84" t="s">
        <v>14</v>
      </c>
      <c r="H84" t="s">
        <v>13</v>
      </c>
      <c r="I84" t="s">
        <v>14</v>
      </c>
      <c r="J84" t="s">
        <v>13</v>
      </c>
      <c r="K84">
        <v>1</v>
      </c>
      <c r="L84" t="s">
        <v>13</v>
      </c>
      <c r="M84" s="1">
        <v>6615000</v>
      </c>
      <c r="P84">
        <v>10500</v>
      </c>
      <c r="Q84">
        <f>IF(Table1[[#This Row],[furnishingstatus]]="furnished", 1, 0)</f>
        <v>1</v>
      </c>
      <c r="R84">
        <f>IF(Table1[[#This Row],[furnishingstatus]]="semi-furnished", 1, 0)</f>
        <v>0</v>
      </c>
      <c r="S84">
        <v>3</v>
      </c>
      <c r="T84">
        <v>2</v>
      </c>
      <c r="U84">
        <v>1</v>
      </c>
      <c r="V84">
        <f>IF(Table1[[#This Row],[mainroad]] = "yes", 1, 0)</f>
        <v>1</v>
      </c>
      <c r="W84">
        <f>IF(Table1[[#This Row],[guestroom]]= "yes", 1, 0)</f>
        <v>0</v>
      </c>
      <c r="X84">
        <f>IF(Table1[[#This Row],[basement]]="yes", 1, 0)</f>
        <v>1</v>
      </c>
      <c r="Y84">
        <f>IF(Table1[[#This Row],[hotwaterheating]]="yes", 1, 0)</f>
        <v>0</v>
      </c>
      <c r="Z84">
        <f>IF(Table1[[#This Row],[airconditioning]]="yes", 1, 0)</f>
        <v>1</v>
      </c>
      <c r="AA84">
        <v>1</v>
      </c>
      <c r="AB84">
        <f>IF(Table1[[#This Row],[prefarea]]= "yes", 1, 0)</f>
        <v>1</v>
      </c>
      <c r="AC84" s="1">
        <v>6615000</v>
      </c>
    </row>
    <row r="85" spans="1:29">
      <c r="A85">
        <v>6000</v>
      </c>
      <c r="B85" t="s">
        <v>16</v>
      </c>
      <c r="C85">
        <v>3</v>
      </c>
      <c r="D85">
        <v>2</v>
      </c>
      <c r="E85">
        <v>4</v>
      </c>
      <c r="F85" t="s">
        <v>13</v>
      </c>
      <c r="G85" t="s">
        <v>14</v>
      </c>
      <c r="H85" t="s">
        <v>14</v>
      </c>
      <c r="I85" t="s">
        <v>14</v>
      </c>
      <c r="J85" t="s">
        <v>13</v>
      </c>
      <c r="K85">
        <v>0</v>
      </c>
      <c r="L85" t="s">
        <v>14</v>
      </c>
      <c r="M85" s="1">
        <v>6580000</v>
      </c>
      <c r="P85">
        <v>6000</v>
      </c>
      <c r="Q85">
        <f>IF(Table1[[#This Row],[furnishingstatus]]="furnished", 1, 0)</f>
        <v>0</v>
      </c>
      <c r="R85">
        <f>IF(Table1[[#This Row],[furnishingstatus]]="semi-furnished", 1, 0)</f>
        <v>1</v>
      </c>
      <c r="S85">
        <v>3</v>
      </c>
      <c r="T85">
        <v>2</v>
      </c>
      <c r="U85">
        <v>4</v>
      </c>
      <c r="V85">
        <f>IF(Table1[[#This Row],[mainroad]] = "yes", 1, 0)</f>
        <v>1</v>
      </c>
      <c r="W85">
        <f>IF(Table1[[#This Row],[guestroom]]= "yes", 1, 0)</f>
        <v>0</v>
      </c>
      <c r="X85">
        <f>IF(Table1[[#This Row],[basement]]="yes", 1, 0)</f>
        <v>0</v>
      </c>
      <c r="Y85">
        <f>IF(Table1[[#This Row],[hotwaterheating]]="yes", 1, 0)</f>
        <v>0</v>
      </c>
      <c r="Z85">
        <f>IF(Table1[[#This Row],[airconditioning]]="yes", 1, 0)</f>
        <v>1</v>
      </c>
      <c r="AA85">
        <v>0</v>
      </c>
      <c r="AB85">
        <f>IF(Table1[[#This Row],[prefarea]]= "yes", 1, 0)</f>
        <v>0</v>
      </c>
      <c r="AC85" s="1">
        <v>6580000</v>
      </c>
    </row>
    <row r="86" spans="1:29">
      <c r="A86">
        <v>3760</v>
      </c>
      <c r="B86" t="s">
        <v>16</v>
      </c>
      <c r="C86">
        <v>3</v>
      </c>
      <c r="D86">
        <v>1</v>
      </c>
      <c r="E86">
        <v>2</v>
      </c>
      <c r="F86" t="s">
        <v>13</v>
      </c>
      <c r="G86" t="s">
        <v>14</v>
      </c>
      <c r="H86" t="s">
        <v>14</v>
      </c>
      <c r="I86" t="s">
        <v>13</v>
      </c>
      <c r="J86" t="s">
        <v>14</v>
      </c>
      <c r="K86">
        <v>2</v>
      </c>
      <c r="L86" t="s">
        <v>14</v>
      </c>
      <c r="M86" s="1">
        <v>6510000</v>
      </c>
      <c r="P86">
        <v>3760</v>
      </c>
      <c r="Q86">
        <f>IF(Table1[[#This Row],[furnishingstatus]]="furnished", 1, 0)</f>
        <v>0</v>
      </c>
      <c r="R86">
        <f>IF(Table1[[#This Row],[furnishingstatus]]="semi-furnished", 1, 0)</f>
        <v>1</v>
      </c>
      <c r="S86">
        <v>3</v>
      </c>
      <c r="T86">
        <v>1</v>
      </c>
      <c r="U86">
        <v>2</v>
      </c>
      <c r="V86">
        <f>IF(Table1[[#This Row],[mainroad]] = "yes", 1, 0)</f>
        <v>1</v>
      </c>
      <c r="W86">
        <f>IF(Table1[[#This Row],[guestroom]]= "yes", 1, 0)</f>
        <v>0</v>
      </c>
      <c r="X86">
        <f>IF(Table1[[#This Row],[basement]]="yes", 1, 0)</f>
        <v>0</v>
      </c>
      <c r="Y86">
        <f>IF(Table1[[#This Row],[hotwaterheating]]="yes", 1, 0)</f>
        <v>1</v>
      </c>
      <c r="Z86">
        <f>IF(Table1[[#This Row],[airconditioning]]="yes", 1, 0)</f>
        <v>0</v>
      </c>
      <c r="AA86">
        <v>2</v>
      </c>
      <c r="AB86">
        <f>IF(Table1[[#This Row],[prefarea]]= "yes", 1, 0)</f>
        <v>0</v>
      </c>
      <c r="AC86" s="1">
        <v>6510000</v>
      </c>
    </row>
    <row r="87" spans="1:29">
      <c r="A87">
        <v>8250</v>
      </c>
      <c r="B87" t="s">
        <v>15</v>
      </c>
      <c r="C87">
        <v>3</v>
      </c>
      <c r="D87">
        <v>2</v>
      </c>
      <c r="E87">
        <v>3</v>
      </c>
      <c r="F87" t="s">
        <v>13</v>
      </c>
      <c r="G87" t="s">
        <v>14</v>
      </c>
      <c r="H87" t="s">
        <v>14</v>
      </c>
      <c r="I87" t="s">
        <v>14</v>
      </c>
      <c r="J87" t="s">
        <v>13</v>
      </c>
      <c r="K87">
        <v>0</v>
      </c>
      <c r="L87" t="s">
        <v>14</v>
      </c>
      <c r="M87" s="1">
        <v>6510000</v>
      </c>
      <c r="P87">
        <v>8250</v>
      </c>
      <c r="Q87">
        <f>IF(Table1[[#This Row],[furnishingstatus]]="furnished", 1, 0)</f>
        <v>1</v>
      </c>
      <c r="R87">
        <f>IF(Table1[[#This Row],[furnishingstatus]]="semi-furnished", 1, 0)</f>
        <v>0</v>
      </c>
      <c r="S87">
        <v>3</v>
      </c>
      <c r="T87">
        <v>2</v>
      </c>
      <c r="U87">
        <v>3</v>
      </c>
      <c r="V87">
        <f>IF(Table1[[#This Row],[mainroad]] = "yes", 1, 0)</f>
        <v>1</v>
      </c>
      <c r="W87">
        <f>IF(Table1[[#This Row],[guestroom]]= "yes", 1, 0)</f>
        <v>0</v>
      </c>
      <c r="X87">
        <f>IF(Table1[[#This Row],[basement]]="yes", 1, 0)</f>
        <v>0</v>
      </c>
      <c r="Y87">
        <f>IF(Table1[[#This Row],[hotwaterheating]]="yes", 1, 0)</f>
        <v>0</v>
      </c>
      <c r="Z87">
        <f>IF(Table1[[#This Row],[airconditioning]]="yes", 1, 0)</f>
        <v>1</v>
      </c>
      <c r="AA87">
        <v>0</v>
      </c>
      <c r="AB87">
        <f>IF(Table1[[#This Row],[prefarea]]= "yes", 1, 0)</f>
        <v>0</v>
      </c>
      <c r="AC87" s="1">
        <v>6510000</v>
      </c>
    </row>
    <row r="88" spans="1:29">
      <c r="A88">
        <v>6670</v>
      </c>
      <c r="B88" t="s">
        <v>17</v>
      </c>
      <c r="C88">
        <v>3</v>
      </c>
      <c r="D88">
        <v>1</v>
      </c>
      <c r="E88">
        <v>3</v>
      </c>
      <c r="F88" t="s">
        <v>13</v>
      </c>
      <c r="G88" t="s">
        <v>14</v>
      </c>
      <c r="H88" t="s">
        <v>13</v>
      </c>
      <c r="I88" t="s">
        <v>14</v>
      </c>
      <c r="J88" t="s">
        <v>14</v>
      </c>
      <c r="K88">
        <v>0</v>
      </c>
      <c r="L88" t="s">
        <v>13</v>
      </c>
      <c r="M88" s="1">
        <v>6510000</v>
      </c>
      <c r="P88">
        <v>6670</v>
      </c>
      <c r="Q88">
        <f>IF(Table1[[#This Row],[furnishingstatus]]="furnished", 1, 0)</f>
        <v>0</v>
      </c>
      <c r="R88">
        <f>IF(Table1[[#This Row],[furnishingstatus]]="semi-furnished", 1, 0)</f>
        <v>0</v>
      </c>
      <c r="S88">
        <v>3</v>
      </c>
      <c r="T88">
        <v>1</v>
      </c>
      <c r="U88">
        <v>3</v>
      </c>
      <c r="V88">
        <f>IF(Table1[[#This Row],[mainroad]] = "yes", 1, 0)</f>
        <v>1</v>
      </c>
      <c r="W88">
        <f>IF(Table1[[#This Row],[guestroom]]= "yes", 1, 0)</f>
        <v>0</v>
      </c>
      <c r="X88">
        <f>IF(Table1[[#This Row],[basement]]="yes", 1, 0)</f>
        <v>1</v>
      </c>
      <c r="Y88">
        <f>IF(Table1[[#This Row],[hotwaterheating]]="yes", 1, 0)</f>
        <v>0</v>
      </c>
      <c r="Z88">
        <f>IF(Table1[[#This Row],[airconditioning]]="yes", 1, 0)</f>
        <v>0</v>
      </c>
      <c r="AA88">
        <v>0</v>
      </c>
      <c r="AB88">
        <f>IF(Table1[[#This Row],[prefarea]]= "yes", 1, 0)</f>
        <v>1</v>
      </c>
      <c r="AC88" s="1">
        <v>6510000</v>
      </c>
    </row>
    <row r="89" spans="1:29">
      <c r="A89">
        <v>3960</v>
      </c>
      <c r="B89" t="s">
        <v>16</v>
      </c>
      <c r="C89">
        <v>3</v>
      </c>
      <c r="D89">
        <v>1</v>
      </c>
      <c r="E89">
        <v>1</v>
      </c>
      <c r="F89" t="s">
        <v>13</v>
      </c>
      <c r="G89" t="s">
        <v>14</v>
      </c>
      <c r="H89" t="s">
        <v>13</v>
      </c>
      <c r="I89" t="s">
        <v>14</v>
      </c>
      <c r="J89" t="s">
        <v>14</v>
      </c>
      <c r="K89">
        <v>2</v>
      </c>
      <c r="L89" t="s">
        <v>14</v>
      </c>
      <c r="M89" s="1">
        <v>6475000</v>
      </c>
      <c r="P89">
        <v>3960</v>
      </c>
      <c r="Q89">
        <f>IF(Table1[[#This Row],[furnishingstatus]]="furnished", 1, 0)</f>
        <v>0</v>
      </c>
      <c r="R89">
        <f>IF(Table1[[#This Row],[furnishingstatus]]="semi-furnished", 1, 0)</f>
        <v>1</v>
      </c>
      <c r="S89">
        <v>3</v>
      </c>
      <c r="T89">
        <v>1</v>
      </c>
      <c r="U89">
        <v>1</v>
      </c>
      <c r="V89">
        <f>IF(Table1[[#This Row],[mainroad]] = "yes", 1, 0)</f>
        <v>1</v>
      </c>
      <c r="W89">
        <f>IF(Table1[[#This Row],[guestroom]]= "yes", 1, 0)</f>
        <v>0</v>
      </c>
      <c r="X89">
        <f>IF(Table1[[#This Row],[basement]]="yes", 1, 0)</f>
        <v>1</v>
      </c>
      <c r="Y89">
        <f>IF(Table1[[#This Row],[hotwaterheating]]="yes", 1, 0)</f>
        <v>0</v>
      </c>
      <c r="Z89">
        <f>IF(Table1[[#This Row],[airconditioning]]="yes", 1, 0)</f>
        <v>0</v>
      </c>
      <c r="AA89">
        <v>2</v>
      </c>
      <c r="AB89">
        <f>IF(Table1[[#This Row],[prefarea]]= "yes", 1, 0)</f>
        <v>0</v>
      </c>
      <c r="AC89" s="1">
        <v>6475000</v>
      </c>
    </row>
    <row r="90" spans="1:29">
      <c r="A90">
        <v>7410</v>
      </c>
      <c r="B90" t="s">
        <v>17</v>
      </c>
      <c r="C90">
        <v>3</v>
      </c>
      <c r="D90">
        <v>1</v>
      </c>
      <c r="E90">
        <v>1</v>
      </c>
      <c r="F90" t="s">
        <v>13</v>
      </c>
      <c r="G90" t="s">
        <v>13</v>
      </c>
      <c r="H90" t="s">
        <v>13</v>
      </c>
      <c r="I90" t="s">
        <v>14</v>
      </c>
      <c r="J90" t="s">
        <v>13</v>
      </c>
      <c r="K90">
        <v>2</v>
      </c>
      <c r="L90" t="s">
        <v>13</v>
      </c>
      <c r="M90" s="1">
        <v>6475000</v>
      </c>
      <c r="P90">
        <v>7410</v>
      </c>
      <c r="Q90">
        <f>IF(Table1[[#This Row],[furnishingstatus]]="furnished", 1, 0)</f>
        <v>0</v>
      </c>
      <c r="R90">
        <f>IF(Table1[[#This Row],[furnishingstatus]]="semi-furnished", 1, 0)</f>
        <v>0</v>
      </c>
      <c r="S90">
        <v>3</v>
      </c>
      <c r="T90">
        <v>1</v>
      </c>
      <c r="U90">
        <v>1</v>
      </c>
      <c r="V90">
        <f>IF(Table1[[#This Row],[mainroad]] = "yes", 1, 0)</f>
        <v>1</v>
      </c>
      <c r="W90">
        <f>IF(Table1[[#This Row],[guestroom]]= "yes", 1, 0)</f>
        <v>1</v>
      </c>
      <c r="X90">
        <f>IF(Table1[[#This Row],[basement]]="yes", 1, 0)</f>
        <v>1</v>
      </c>
      <c r="Y90">
        <f>IF(Table1[[#This Row],[hotwaterheating]]="yes", 1, 0)</f>
        <v>0</v>
      </c>
      <c r="Z90">
        <f>IF(Table1[[#This Row],[airconditioning]]="yes", 1, 0)</f>
        <v>1</v>
      </c>
      <c r="AA90">
        <v>2</v>
      </c>
      <c r="AB90">
        <f>IF(Table1[[#This Row],[prefarea]]= "yes", 1, 0)</f>
        <v>1</v>
      </c>
      <c r="AC90" s="1">
        <v>6475000</v>
      </c>
    </row>
    <row r="91" spans="1:29">
      <c r="A91">
        <v>8580</v>
      </c>
      <c r="B91" t="s">
        <v>15</v>
      </c>
      <c r="C91">
        <v>5</v>
      </c>
      <c r="D91">
        <v>3</v>
      </c>
      <c r="E91">
        <v>2</v>
      </c>
      <c r="F91" t="s">
        <v>13</v>
      </c>
      <c r="G91" t="s">
        <v>14</v>
      </c>
      <c r="H91" t="s">
        <v>14</v>
      </c>
      <c r="I91" t="s">
        <v>14</v>
      </c>
      <c r="J91" t="s">
        <v>14</v>
      </c>
      <c r="K91">
        <v>2</v>
      </c>
      <c r="L91" t="s">
        <v>14</v>
      </c>
      <c r="M91" s="1">
        <v>6440000</v>
      </c>
      <c r="P91">
        <v>8580</v>
      </c>
      <c r="Q91">
        <f>IF(Table1[[#This Row],[furnishingstatus]]="furnished", 1, 0)</f>
        <v>1</v>
      </c>
      <c r="R91">
        <f>IF(Table1[[#This Row],[furnishingstatus]]="semi-furnished", 1, 0)</f>
        <v>0</v>
      </c>
      <c r="S91">
        <v>5</v>
      </c>
      <c r="T91">
        <v>3</v>
      </c>
      <c r="U91">
        <v>2</v>
      </c>
      <c r="V91">
        <f>IF(Table1[[#This Row],[mainroad]] = "yes", 1, 0)</f>
        <v>1</v>
      </c>
      <c r="W91">
        <f>IF(Table1[[#This Row],[guestroom]]= "yes", 1, 0)</f>
        <v>0</v>
      </c>
      <c r="X91">
        <f>IF(Table1[[#This Row],[basement]]="yes", 1, 0)</f>
        <v>0</v>
      </c>
      <c r="Y91">
        <f>IF(Table1[[#This Row],[hotwaterheating]]="yes", 1, 0)</f>
        <v>0</v>
      </c>
      <c r="Z91">
        <f>IF(Table1[[#This Row],[airconditioning]]="yes", 1, 0)</f>
        <v>0</v>
      </c>
      <c r="AA91">
        <v>2</v>
      </c>
      <c r="AB91">
        <f>IF(Table1[[#This Row],[prefarea]]= "yes", 1, 0)</f>
        <v>0</v>
      </c>
      <c r="AC91" s="1">
        <v>6440000</v>
      </c>
    </row>
    <row r="92" spans="1:29">
      <c r="A92">
        <v>5000</v>
      </c>
      <c r="B92" t="s">
        <v>16</v>
      </c>
      <c r="C92">
        <v>3</v>
      </c>
      <c r="D92">
        <v>1</v>
      </c>
      <c r="E92">
        <v>2</v>
      </c>
      <c r="F92" t="s">
        <v>13</v>
      </c>
      <c r="G92" t="s">
        <v>14</v>
      </c>
      <c r="H92" t="s">
        <v>14</v>
      </c>
      <c r="I92" t="s">
        <v>14</v>
      </c>
      <c r="J92" t="s">
        <v>13</v>
      </c>
      <c r="K92">
        <v>0</v>
      </c>
      <c r="L92" t="s">
        <v>14</v>
      </c>
      <c r="M92" s="1">
        <v>6440000</v>
      </c>
      <c r="P92">
        <v>5000</v>
      </c>
      <c r="Q92">
        <f>IF(Table1[[#This Row],[furnishingstatus]]="furnished", 1, 0)</f>
        <v>0</v>
      </c>
      <c r="R92">
        <f>IF(Table1[[#This Row],[furnishingstatus]]="semi-furnished", 1, 0)</f>
        <v>1</v>
      </c>
      <c r="S92">
        <v>3</v>
      </c>
      <c r="T92">
        <v>1</v>
      </c>
      <c r="U92">
        <v>2</v>
      </c>
      <c r="V92">
        <f>IF(Table1[[#This Row],[mainroad]] = "yes", 1, 0)</f>
        <v>1</v>
      </c>
      <c r="W92">
        <f>IF(Table1[[#This Row],[guestroom]]= "yes", 1, 0)</f>
        <v>0</v>
      </c>
      <c r="X92">
        <f>IF(Table1[[#This Row],[basement]]="yes", 1, 0)</f>
        <v>0</v>
      </c>
      <c r="Y92">
        <f>IF(Table1[[#This Row],[hotwaterheating]]="yes", 1, 0)</f>
        <v>0</v>
      </c>
      <c r="Z92">
        <f>IF(Table1[[#This Row],[airconditioning]]="yes", 1, 0)</f>
        <v>1</v>
      </c>
      <c r="AA92">
        <v>0</v>
      </c>
      <c r="AB92">
        <f>IF(Table1[[#This Row],[prefarea]]= "yes", 1, 0)</f>
        <v>0</v>
      </c>
      <c r="AC92" s="1">
        <v>6440000</v>
      </c>
    </row>
    <row r="93" spans="1:29">
      <c r="A93">
        <v>6750</v>
      </c>
      <c r="B93" t="s">
        <v>15</v>
      </c>
      <c r="C93">
        <v>2</v>
      </c>
      <c r="D93">
        <v>1</v>
      </c>
      <c r="E93">
        <v>1</v>
      </c>
      <c r="F93" t="s">
        <v>13</v>
      </c>
      <c r="G93" t="s">
        <v>13</v>
      </c>
      <c r="H93" t="s">
        <v>13</v>
      </c>
      <c r="I93" t="s">
        <v>14</v>
      </c>
      <c r="J93" t="s">
        <v>14</v>
      </c>
      <c r="K93">
        <v>2</v>
      </c>
      <c r="L93" t="s">
        <v>13</v>
      </c>
      <c r="M93" s="1">
        <v>6419000</v>
      </c>
      <c r="P93">
        <v>6750</v>
      </c>
      <c r="Q93">
        <f>IF(Table1[[#This Row],[furnishingstatus]]="furnished", 1, 0)</f>
        <v>1</v>
      </c>
      <c r="R93">
        <f>IF(Table1[[#This Row],[furnishingstatus]]="semi-furnished", 1, 0)</f>
        <v>0</v>
      </c>
      <c r="S93">
        <v>2</v>
      </c>
      <c r="T93">
        <v>1</v>
      </c>
      <c r="U93">
        <v>1</v>
      </c>
      <c r="V93">
        <f>IF(Table1[[#This Row],[mainroad]] = "yes", 1, 0)</f>
        <v>1</v>
      </c>
      <c r="W93">
        <f>IF(Table1[[#This Row],[guestroom]]= "yes", 1, 0)</f>
        <v>1</v>
      </c>
      <c r="X93">
        <f>IF(Table1[[#This Row],[basement]]="yes", 1, 0)</f>
        <v>1</v>
      </c>
      <c r="Y93">
        <f>IF(Table1[[#This Row],[hotwaterheating]]="yes", 1, 0)</f>
        <v>0</v>
      </c>
      <c r="Z93">
        <f>IF(Table1[[#This Row],[airconditioning]]="yes", 1, 0)</f>
        <v>0</v>
      </c>
      <c r="AA93">
        <v>2</v>
      </c>
      <c r="AB93">
        <f>IF(Table1[[#This Row],[prefarea]]= "yes", 1, 0)</f>
        <v>1</v>
      </c>
      <c r="AC93" s="1">
        <v>6419000</v>
      </c>
    </row>
    <row r="94" spans="1:29">
      <c r="A94">
        <v>4800</v>
      </c>
      <c r="B94" t="s">
        <v>15</v>
      </c>
      <c r="C94">
        <v>3</v>
      </c>
      <c r="D94">
        <v>2</v>
      </c>
      <c r="E94">
        <v>4</v>
      </c>
      <c r="F94" t="s">
        <v>13</v>
      </c>
      <c r="G94" t="s">
        <v>13</v>
      </c>
      <c r="H94" t="s">
        <v>14</v>
      </c>
      <c r="I94" t="s">
        <v>14</v>
      </c>
      <c r="J94" t="s">
        <v>13</v>
      </c>
      <c r="K94">
        <v>0</v>
      </c>
      <c r="L94" t="s">
        <v>14</v>
      </c>
      <c r="M94" s="1">
        <v>6405000</v>
      </c>
      <c r="P94">
        <v>4800</v>
      </c>
      <c r="Q94">
        <f>IF(Table1[[#This Row],[furnishingstatus]]="furnished", 1, 0)</f>
        <v>1</v>
      </c>
      <c r="R94">
        <f>IF(Table1[[#This Row],[furnishingstatus]]="semi-furnished", 1, 0)</f>
        <v>0</v>
      </c>
      <c r="S94">
        <v>3</v>
      </c>
      <c r="T94">
        <v>2</v>
      </c>
      <c r="U94">
        <v>4</v>
      </c>
      <c r="V94">
        <f>IF(Table1[[#This Row],[mainroad]] = "yes", 1, 0)</f>
        <v>1</v>
      </c>
      <c r="W94">
        <f>IF(Table1[[#This Row],[guestroom]]= "yes", 1, 0)</f>
        <v>1</v>
      </c>
      <c r="X94">
        <f>IF(Table1[[#This Row],[basement]]="yes", 1, 0)</f>
        <v>0</v>
      </c>
      <c r="Y94">
        <f>IF(Table1[[#This Row],[hotwaterheating]]="yes", 1, 0)</f>
        <v>0</v>
      </c>
      <c r="Z94">
        <f>IF(Table1[[#This Row],[airconditioning]]="yes", 1, 0)</f>
        <v>1</v>
      </c>
      <c r="AA94">
        <v>0</v>
      </c>
      <c r="AB94">
        <f>IF(Table1[[#This Row],[prefarea]]= "yes", 1, 0)</f>
        <v>0</v>
      </c>
      <c r="AC94" s="1">
        <v>6405000</v>
      </c>
    </row>
    <row r="95" spans="1:29">
      <c r="A95">
        <v>7200</v>
      </c>
      <c r="B95" t="s">
        <v>16</v>
      </c>
      <c r="C95">
        <v>3</v>
      </c>
      <c r="D95">
        <v>2</v>
      </c>
      <c r="E95">
        <v>1</v>
      </c>
      <c r="F95" t="s">
        <v>13</v>
      </c>
      <c r="G95" t="s">
        <v>14</v>
      </c>
      <c r="H95" t="s">
        <v>13</v>
      </c>
      <c r="I95" t="s">
        <v>14</v>
      </c>
      <c r="J95" t="s">
        <v>13</v>
      </c>
      <c r="K95">
        <v>3</v>
      </c>
      <c r="L95" t="s">
        <v>14</v>
      </c>
      <c r="M95" s="1">
        <v>6300000</v>
      </c>
      <c r="P95">
        <v>7200</v>
      </c>
      <c r="Q95">
        <f>IF(Table1[[#This Row],[furnishingstatus]]="furnished", 1, 0)</f>
        <v>0</v>
      </c>
      <c r="R95">
        <f>IF(Table1[[#This Row],[furnishingstatus]]="semi-furnished", 1, 0)</f>
        <v>1</v>
      </c>
      <c r="S95">
        <v>3</v>
      </c>
      <c r="T95">
        <v>2</v>
      </c>
      <c r="U95">
        <v>1</v>
      </c>
      <c r="V95">
        <f>IF(Table1[[#This Row],[mainroad]] = "yes", 1, 0)</f>
        <v>1</v>
      </c>
      <c r="W95">
        <f>IF(Table1[[#This Row],[guestroom]]= "yes", 1, 0)</f>
        <v>0</v>
      </c>
      <c r="X95">
        <f>IF(Table1[[#This Row],[basement]]="yes", 1, 0)</f>
        <v>1</v>
      </c>
      <c r="Y95">
        <f>IF(Table1[[#This Row],[hotwaterheating]]="yes", 1, 0)</f>
        <v>0</v>
      </c>
      <c r="Z95">
        <f>IF(Table1[[#This Row],[airconditioning]]="yes", 1, 0)</f>
        <v>1</v>
      </c>
      <c r="AA95">
        <v>3</v>
      </c>
      <c r="AB95">
        <f>IF(Table1[[#This Row],[prefarea]]= "yes", 1, 0)</f>
        <v>0</v>
      </c>
      <c r="AC95" s="1">
        <v>6300000</v>
      </c>
    </row>
    <row r="96" spans="1:29">
      <c r="A96">
        <v>6000</v>
      </c>
      <c r="B96" t="s">
        <v>16</v>
      </c>
      <c r="C96">
        <v>4</v>
      </c>
      <c r="D96">
        <v>2</v>
      </c>
      <c r="E96">
        <v>4</v>
      </c>
      <c r="F96" t="s">
        <v>13</v>
      </c>
      <c r="G96" t="s">
        <v>14</v>
      </c>
      <c r="H96" t="s">
        <v>14</v>
      </c>
      <c r="I96" t="s">
        <v>14</v>
      </c>
      <c r="J96" t="s">
        <v>14</v>
      </c>
      <c r="K96">
        <v>1</v>
      </c>
      <c r="L96" t="s">
        <v>14</v>
      </c>
      <c r="M96" s="1">
        <v>6300000</v>
      </c>
      <c r="P96">
        <v>6000</v>
      </c>
      <c r="Q96">
        <f>IF(Table1[[#This Row],[furnishingstatus]]="furnished", 1, 0)</f>
        <v>0</v>
      </c>
      <c r="R96">
        <f>IF(Table1[[#This Row],[furnishingstatus]]="semi-furnished", 1, 0)</f>
        <v>1</v>
      </c>
      <c r="S96">
        <v>4</v>
      </c>
      <c r="T96">
        <v>2</v>
      </c>
      <c r="U96">
        <v>4</v>
      </c>
      <c r="V96">
        <f>IF(Table1[[#This Row],[mainroad]] = "yes", 1, 0)</f>
        <v>1</v>
      </c>
      <c r="W96">
        <f>IF(Table1[[#This Row],[guestroom]]= "yes", 1, 0)</f>
        <v>0</v>
      </c>
      <c r="X96">
        <f>IF(Table1[[#This Row],[basement]]="yes", 1, 0)</f>
        <v>0</v>
      </c>
      <c r="Y96">
        <f>IF(Table1[[#This Row],[hotwaterheating]]="yes", 1, 0)</f>
        <v>0</v>
      </c>
      <c r="Z96">
        <f>IF(Table1[[#This Row],[airconditioning]]="yes", 1, 0)</f>
        <v>0</v>
      </c>
      <c r="AA96">
        <v>1</v>
      </c>
      <c r="AB96">
        <f>IF(Table1[[#This Row],[prefarea]]= "yes", 1, 0)</f>
        <v>0</v>
      </c>
      <c r="AC96" s="1">
        <v>6300000</v>
      </c>
    </row>
    <row r="97" spans="1:29">
      <c r="A97">
        <v>4100</v>
      </c>
      <c r="B97" t="s">
        <v>16</v>
      </c>
      <c r="C97">
        <v>3</v>
      </c>
      <c r="D97">
        <v>2</v>
      </c>
      <c r="E97">
        <v>3</v>
      </c>
      <c r="F97" t="s">
        <v>13</v>
      </c>
      <c r="G97" t="s">
        <v>14</v>
      </c>
      <c r="H97" t="s">
        <v>14</v>
      </c>
      <c r="I97" t="s">
        <v>14</v>
      </c>
      <c r="J97" t="s">
        <v>13</v>
      </c>
      <c r="K97">
        <v>2</v>
      </c>
      <c r="L97" t="s">
        <v>14</v>
      </c>
      <c r="M97" s="1">
        <v>6300000</v>
      </c>
      <c r="P97">
        <v>4100</v>
      </c>
      <c r="Q97">
        <f>IF(Table1[[#This Row],[furnishingstatus]]="furnished", 1, 0)</f>
        <v>0</v>
      </c>
      <c r="R97">
        <f>IF(Table1[[#This Row],[furnishingstatus]]="semi-furnished", 1, 0)</f>
        <v>1</v>
      </c>
      <c r="S97">
        <v>3</v>
      </c>
      <c r="T97">
        <v>2</v>
      </c>
      <c r="U97">
        <v>3</v>
      </c>
      <c r="V97">
        <f>IF(Table1[[#This Row],[mainroad]] = "yes", 1, 0)</f>
        <v>1</v>
      </c>
      <c r="W97">
        <f>IF(Table1[[#This Row],[guestroom]]= "yes", 1, 0)</f>
        <v>0</v>
      </c>
      <c r="X97">
        <f>IF(Table1[[#This Row],[basement]]="yes", 1, 0)</f>
        <v>0</v>
      </c>
      <c r="Y97">
        <f>IF(Table1[[#This Row],[hotwaterheating]]="yes", 1, 0)</f>
        <v>0</v>
      </c>
      <c r="Z97">
        <f>IF(Table1[[#This Row],[airconditioning]]="yes", 1, 0)</f>
        <v>1</v>
      </c>
      <c r="AA97">
        <v>2</v>
      </c>
      <c r="AB97">
        <f>IF(Table1[[#This Row],[prefarea]]= "yes", 1, 0)</f>
        <v>0</v>
      </c>
      <c r="AC97" s="1">
        <v>6300000</v>
      </c>
    </row>
    <row r="98" spans="1:29">
      <c r="A98">
        <v>9000</v>
      </c>
      <c r="B98" t="s">
        <v>15</v>
      </c>
      <c r="C98">
        <v>3</v>
      </c>
      <c r="D98">
        <v>1</v>
      </c>
      <c r="E98">
        <v>1</v>
      </c>
      <c r="F98" t="s">
        <v>13</v>
      </c>
      <c r="G98" t="s">
        <v>14</v>
      </c>
      <c r="H98" t="s">
        <v>13</v>
      </c>
      <c r="I98" t="s">
        <v>14</v>
      </c>
      <c r="J98" t="s">
        <v>14</v>
      </c>
      <c r="K98">
        <v>1</v>
      </c>
      <c r="L98" t="s">
        <v>13</v>
      </c>
      <c r="M98" s="1">
        <v>6300000</v>
      </c>
      <c r="P98">
        <v>9000</v>
      </c>
      <c r="Q98">
        <f>IF(Table1[[#This Row],[furnishingstatus]]="furnished", 1, 0)</f>
        <v>1</v>
      </c>
      <c r="R98">
        <f>IF(Table1[[#This Row],[furnishingstatus]]="semi-furnished", 1, 0)</f>
        <v>0</v>
      </c>
      <c r="S98">
        <v>3</v>
      </c>
      <c r="T98">
        <v>1</v>
      </c>
      <c r="U98">
        <v>1</v>
      </c>
      <c r="V98">
        <f>IF(Table1[[#This Row],[mainroad]] = "yes", 1, 0)</f>
        <v>1</v>
      </c>
      <c r="W98">
        <f>IF(Table1[[#This Row],[guestroom]]= "yes", 1, 0)</f>
        <v>0</v>
      </c>
      <c r="X98">
        <f>IF(Table1[[#This Row],[basement]]="yes", 1, 0)</f>
        <v>1</v>
      </c>
      <c r="Y98">
        <f>IF(Table1[[#This Row],[hotwaterheating]]="yes", 1, 0)</f>
        <v>0</v>
      </c>
      <c r="Z98">
        <f>IF(Table1[[#This Row],[airconditioning]]="yes", 1, 0)</f>
        <v>0</v>
      </c>
      <c r="AA98">
        <v>1</v>
      </c>
      <c r="AB98">
        <f>IF(Table1[[#This Row],[prefarea]]= "yes", 1, 0)</f>
        <v>1</v>
      </c>
      <c r="AC98" s="1">
        <v>6300000</v>
      </c>
    </row>
    <row r="99" spans="1:29">
      <c r="A99">
        <v>6400</v>
      </c>
      <c r="B99" t="s">
        <v>16</v>
      </c>
      <c r="C99">
        <v>3</v>
      </c>
      <c r="D99">
        <v>1</v>
      </c>
      <c r="E99">
        <v>1</v>
      </c>
      <c r="F99" t="s">
        <v>13</v>
      </c>
      <c r="G99" t="s">
        <v>13</v>
      </c>
      <c r="H99" t="s">
        <v>13</v>
      </c>
      <c r="I99" t="s">
        <v>14</v>
      </c>
      <c r="J99" t="s">
        <v>13</v>
      </c>
      <c r="K99">
        <v>1</v>
      </c>
      <c r="L99" t="s">
        <v>13</v>
      </c>
      <c r="M99" s="1">
        <v>6300000</v>
      </c>
      <c r="P99">
        <v>6400</v>
      </c>
      <c r="Q99">
        <f>IF(Table1[[#This Row],[furnishingstatus]]="furnished", 1, 0)</f>
        <v>0</v>
      </c>
      <c r="R99">
        <f>IF(Table1[[#This Row],[furnishingstatus]]="semi-furnished", 1, 0)</f>
        <v>1</v>
      </c>
      <c r="S99">
        <v>3</v>
      </c>
      <c r="T99">
        <v>1</v>
      </c>
      <c r="U99">
        <v>1</v>
      </c>
      <c r="V99">
        <f>IF(Table1[[#This Row],[mainroad]] = "yes", 1, 0)</f>
        <v>1</v>
      </c>
      <c r="W99">
        <f>IF(Table1[[#This Row],[guestroom]]= "yes", 1, 0)</f>
        <v>1</v>
      </c>
      <c r="X99">
        <f>IF(Table1[[#This Row],[basement]]="yes", 1, 0)</f>
        <v>1</v>
      </c>
      <c r="Y99">
        <f>IF(Table1[[#This Row],[hotwaterheating]]="yes", 1, 0)</f>
        <v>0</v>
      </c>
      <c r="Z99">
        <f>IF(Table1[[#This Row],[airconditioning]]="yes", 1, 0)</f>
        <v>1</v>
      </c>
      <c r="AA99">
        <v>1</v>
      </c>
      <c r="AB99">
        <f>IF(Table1[[#This Row],[prefarea]]= "yes", 1, 0)</f>
        <v>1</v>
      </c>
      <c r="AC99" s="1">
        <v>6300000</v>
      </c>
    </row>
    <row r="100" spans="1:29">
      <c r="A100">
        <v>6600</v>
      </c>
      <c r="B100" t="s">
        <v>17</v>
      </c>
      <c r="C100">
        <v>3</v>
      </c>
      <c r="D100">
        <v>2</v>
      </c>
      <c r="E100">
        <v>3</v>
      </c>
      <c r="F100" t="s">
        <v>13</v>
      </c>
      <c r="G100" t="s">
        <v>14</v>
      </c>
      <c r="H100" t="s">
        <v>14</v>
      </c>
      <c r="I100" t="s">
        <v>14</v>
      </c>
      <c r="J100" t="s">
        <v>13</v>
      </c>
      <c r="K100">
        <v>0</v>
      </c>
      <c r="L100" t="s">
        <v>13</v>
      </c>
      <c r="M100" s="1">
        <v>6293000</v>
      </c>
      <c r="P100">
        <v>6600</v>
      </c>
      <c r="Q100">
        <f>IF(Table1[[#This Row],[furnishingstatus]]="furnished", 1, 0)</f>
        <v>0</v>
      </c>
      <c r="R100">
        <f>IF(Table1[[#This Row],[furnishingstatus]]="semi-furnished", 1, 0)</f>
        <v>0</v>
      </c>
      <c r="S100">
        <v>3</v>
      </c>
      <c r="T100">
        <v>2</v>
      </c>
      <c r="U100">
        <v>3</v>
      </c>
      <c r="V100">
        <f>IF(Table1[[#This Row],[mainroad]] = "yes", 1, 0)</f>
        <v>1</v>
      </c>
      <c r="W100">
        <f>IF(Table1[[#This Row],[guestroom]]= "yes", 1, 0)</f>
        <v>0</v>
      </c>
      <c r="X100">
        <f>IF(Table1[[#This Row],[basement]]="yes", 1, 0)</f>
        <v>0</v>
      </c>
      <c r="Y100">
        <f>IF(Table1[[#This Row],[hotwaterheating]]="yes", 1, 0)</f>
        <v>0</v>
      </c>
      <c r="Z100">
        <f>IF(Table1[[#This Row],[airconditioning]]="yes", 1, 0)</f>
        <v>1</v>
      </c>
      <c r="AA100">
        <v>0</v>
      </c>
      <c r="AB100">
        <f>IF(Table1[[#This Row],[prefarea]]= "yes", 1, 0)</f>
        <v>1</v>
      </c>
      <c r="AC100" s="1">
        <v>6293000</v>
      </c>
    </row>
    <row r="101" spans="1:29">
      <c r="A101">
        <v>6000</v>
      </c>
      <c r="B101" t="s">
        <v>17</v>
      </c>
      <c r="C101">
        <v>4</v>
      </c>
      <c r="D101">
        <v>1</v>
      </c>
      <c r="E101">
        <v>3</v>
      </c>
      <c r="F101" t="s">
        <v>13</v>
      </c>
      <c r="G101" t="s">
        <v>13</v>
      </c>
      <c r="H101" t="s">
        <v>13</v>
      </c>
      <c r="I101" t="s">
        <v>14</v>
      </c>
      <c r="J101" t="s">
        <v>14</v>
      </c>
      <c r="K101">
        <v>0</v>
      </c>
      <c r="L101" t="s">
        <v>13</v>
      </c>
      <c r="M101" s="1">
        <v>6265000</v>
      </c>
      <c r="P101">
        <v>6000</v>
      </c>
      <c r="Q101">
        <f>IF(Table1[[#This Row],[furnishingstatus]]="furnished", 1, 0)</f>
        <v>0</v>
      </c>
      <c r="R101">
        <f>IF(Table1[[#This Row],[furnishingstatus]]="semi-furnished", 1, 0)</f>
        <v>0</v>
      </c>
      <c r="S101">
        <v>4</v>
      </c>
      <c r="T101">
        <v>1</v>
      </c>
      <c r="U101">
        <v>3</v>
      </c>
      <c r="V101">
        <f>IF(Table1[[#This Row],[mainroad]] = "yes", 1, 0)</f>
        <v>1</v>
      </c>
      <c r="W101">
        <f>IF(Table1[[#This Row],[guestroom]]= "yes", 1, 0)</f>
        <v>1</v>
      </c>
      <c r="X101">
        <f>IF(Table1[[#This Row],[basement]]="yes", 1, 0)</f>
        <v>1</v>
      </c>
      <c r="Y101">
        <f>IF(Table1[[#This Row],[hotwaterheating]]="yes", 1, 0)</f>
        <v>0</v>
      </c>
      <c r="Z101">
        <f>IF(Table1[[#This Row],[airconditioning]]="yes", 1, 0)</f>
        <v>0</v>
      </c>
      <c r="AA101">
        <v>0</v>
      </c>
      <c r="AB101">
        <f>IF(Table1[[#This Row],[prefarea]]= "yes", 1, 0)</f>
        <v>1</v>
      </c>
      <c r="AC101" s="1">
        <v>6265000</v>
      </c>
    </row>
    <row r="102" spans="1:29">
      <c r="A102">
        <v>6600</v>
      </c>
      <c r="B102" t="s">
        <v>17</v>
      </c>
      <c r="C102">
        <v>3</v>
      </c>
      <c r="D102">
        <v>2</v>
      </c>
      <c r="E102">
        <v>1</v>
      </c>
      <c r="F102" t="s">
        <v>13</v>
      </c>
      <c r="G102" t="s">
        <v>14</v>
      </c>
      <c r="H102" t="s">
        <v>13</v>
      </c>
      <c r="I102" t="s">
        <v>14</v>
      </c>
      <c r="J102" t="s">
        <v>13</v>
      </c>
      <c r="K102">
        <v>0</v>
      </c>
      <c r="L102" t="s">
        <v>13</v>
      </c>
      <c r="M102" s="1">
        <v>6230000</v>
      </c>
      <c r="P102">
        <v>6600</v>
      </c>
      <c r="Q102">
        <f>IF(Table1[[#This Row],[furnishingstatus]]="furnished", 1, 0)</f>
        <v>0</v>
      </c>
      <c r="R102">
        <f>IF(Table1[[#This Row],[furnishingstatus]]="semi-furnished", 1, 0)</f>
        <v>0</v>
      </c>
      <c r="S102">
        <v>3</v>
      </c>
      <c r="T102">
        <v>2</v>
      </c>
      <c r="U102">
        <v>1</v>
      </c>
      <c r="V102">
        <f>IF(Table1[[#This Row],[mainroad]] = "yes", 1, 0)</f>
        <v>1</v>
      </c>
      <c r="W102">
        <f>IF(Table1[[#This Row],[guestroom]]= "yes", 1, 0)</f>
        <v>0</v>
      </c>
      <c r="X102">
        <f>IF(Table1[[#This Row],[basement]]="yes", 1, 0)</f>
        <v>1</v>
      </c>
      <c r="Y102">
        <f>IF(Table1[[#This Row],[hotwaterheating]]="yes", 1, 0)</f>
        <v>0</v>
      </c>
      <c r="Z102">
        <f>IF(Table1[[#This Row],[airconditioning]]="yes", 1, 0)</f>
        <v>1</v>
      </c>
      <c r="AA102">
        <v>0</v>
      </c>
      <c r="AB102">
        <f>IF(Table1[[#This Row],[prefarea]]= "yes", 1, 0)</f>
        <v>1</v>
      </c>
      <c r="AC102" s="1">
        <v>6230000</v>
      </c>
    </row>
    <row r="103" spans="1:29">
      <c r="A103">
        <v>5500</v>
      </c>
      <c r="B103" t="s">
        <v>17</v>
      </c>
      <c r="C103">
        <v>3</v>
      </c>
      <c r="D103">
        <v>1</v>
      </c>
      <c r="E103">
        <v>3</v>
      </c>
      <c r="F103" t="s">
        <v>13</v>
      </c>
      <c r="G103" t="s">
        <v>14</v>
      </c>
      <c r="H103" t="s">
        <v>14</v>
      </c>
      <c r="I103" t="s">
        <v>14</v>
      </c>
      <c r="J103" t="s">
        <v>14</v>
      </c>
      <c r="K103">
        <v>1</v>
      </c>
      <c r="L103" t="s">
        <v>13</v>
      </c>
      <c r="M103" s="1">
        <v>6230000</v>
      </c>
      <c r="P103">
        <v>5500</v>
      </c>
      <c r="Q103">
        <f>IF(Table1[[#This Row],[furnishingstatus]]="furnished", 1, 0)</f>
        <v>0</v>
      </c>
      <c r="R103">
        <f>IF(Table1[[#This Row],[furnishingstatus]]="semi-furnished", 1, 0)</f>
        <v>0</v>
      </c>
      <c r="S103">
        <v>3</v>
      </c>
      <c r="T103">
        <v>1</v>
      </c>
      <c r="U103">
        <v>3</v>
      </c>
      <c r="V103">
        <f>IF(Table1[[#This Row],[mainroad]] = "yes", 1, 0)</f>
        <v>1</v>
      </c>
      <c r="W103">
        <f>IF(Table1[[#This Row],[guestroom]]= "yes", 1, 0)</f>
        <v>0</v>
      </c>
      <c r="X103">
        <f>IF(Table1[[#This Row],[basement]]="yes", 1, 0)</f>
        <v>0</v>
      </c>
      <c r="Y103">
        <f>IF(Table1[[#This Row],[hotwaterheating]]="yes", 1, 0)</f>
        <v>0</v>
      </c>
      <c r="Z103">
        <f>IF(Table1[[#This Row],[airconditioning]]="yes", 1, 0)</f>
        <v>0</v>
      </c>
      <c r="AA103">
        <v>1</v>
      </c>
      <c r="AB103">
        <f>IF(Table1[[#This Row],[prefarea]]= "yes", 1, 0)</f>
        <v>1</v>
      </c>
      <c r="AC103" s="1">
        <v>6230000</v>
      </c>
    </row>
    <row r="104" spans="1:29">
      <c r="A104">
        <v>5500</v>
      </c>
      <c r="B104" t="s">
        <v>16</v>
      </c>
      <c r="C104">
        <v>3</v>
      </c>
      <c r="D104">
        <v>2</v>
      </c>
      <c r="E104">
        <v>4</v>
      </c>
      <c r="F104" t="s">
        <v>13</v>
      </c>
      <c r="G104" t="s">
        <v>13</v>
      </c>
      <c r="H104" t="s">
        <v>14</v>
      </c>
      <c r="I104" t="s">
        <v>14</v>
      </c>
      <c r="J104" t="s">
        <v>13</v>
      </c>
      <c r="K104">
        <v>1</v>
      </c>
      <c r="L104" t="s">
        <v>14</v>
      </c>
      <c r="M104" s="1">
        <v>6195000</v>
      </c>
      <c r="P104">
        <v>5500</v>
      </c>
      <c r="Q104">
        <f>IF(Table1[[#This Row],[furnishingstatus]]="furnished", 1, 0)</f>
        <v>0</v>
      </c>
      <c r="R104">
        <f>IF(Table1[[#This Row],[furnishingstatus]]="semi-furnished", 1, 0)</f>
        <v>1</v>
      </c>
      <c r="S104">
        <v>3</v>
      </c>
      <c r="T104">
        <v>2</v>
      </c>
      <c r="U104">
        <v>4</v>
      </c>
      <c r="V104">
        <f>IF(Table1[[#This Row],[mainroad]] = "yes", 1, 0)</f>
        <v>1</v>
      </c>
      <c r="W104">
        <f>IF(Table1[[#This Row],[guestroom]]= "yes", 1, 0)</f>
        <v>1</v>
      </c>
      <c r="X104">
        <f>IF(Table1[[#This Row],[basement]]="yes", 1, 0)</f>
        <v>0</v>
      </c>
      <c r="Y104">
        <f>IF(Table1[[#This Row],[hotwaterheating]]="yes", 1, 0)</f>
        <v>0</v>
      </c>
      <c r="Z104">
        <f>IF(Table1[[#This Row],[airconditioning]]="yes", 1, 0)</f>
        <v>1</v>
      </c>
      <c r="AA104">
        <v>1</v>
      </c>
      <c r="AB104">
        <f>IF(Table1[[#This Row],[prefarea]]= "yes", 1, 0)</f>
        <v>0</v>
      </c>
      <c r="AC104" s="1">
        <v>6195000</v>
      </c>
    </row>
    <row r="105" spans="1:29">
      <c r="A105">
        <v>6350</v>
      </c>
      <c r="B105" t="s">
        <v>15</v>
      </c>
      <c r="C105">
        <v>3</v>
      </c>
      <c r="D105">
        <v>2</v>
      </c>
      <c r="E105">
        <v>3</v>
      </c>
      <c r="F105" t="s">
        <v>13</v>
      </c>
      <c r="G105" t="s">
        <v>13</v>
      </c>
      <c r="H105" t="s">
        <v>14</v>
      </c>
      <c r="I105" t="s">
        <v>14</v>
      </c>
      <c r="J105" t="s">
        <v>13</v>
      </c>
      <c r="K105">
        <v>0</v>
      </c>
      <c r="L105" t="s">
        <v>14</v>
      </c>
      <c r="M105" s="1">
        <v>6195000</v>
      </c>
      <c r="P105">
        <v>6350</v>
      </c>
      <c r="Q105">
        <f>IF(Table1[[#This Row],[furnishingstatus]]="furnished", 1, 0)</f>
        <v>1</v>
      </c>
      <c r="R105">
        <f>IF(Table1[[#This Row],[furnishingstatus]]="semi-furnished", 1, 0)</f>
        <v>0</v>
      </c>
      <c r="S105">
        <v>3</v>
      </c>
      <c r="T105">
        <v>2</v>
      </c>
      <c r="U105">
        <v>3</v>
      </c>
      <c r="V105">
        <f>IF(Table1[[#This Row],[mainroad]] = "yes", 1, 0)</f>
        <v>1</v>
      </c>
      <c r="W105">
        <f>IF(Table1[[#This Row],[guestroom]]= "yes", 1, 0)</f>
        <v>1</v>
      </c>
      <c r="X105">
        <f>IF(Table1[[#This Row],[basement]]="yes", 1, 0)</f>
        <v>0</v>
      </c>
      <c r="Y105">
        <f>IF(Table1[[#This Row],[hotwaterheating]]="yes", 1, 0)</f>
        <v>0</v>
      </c>
      <c r="Z105">
        <f>IF(Table1[[#This Row],[airconditioning]]="yes", 1, 0)</f>
        <v>1</v>
      </c>
      <c r="AA105">
        <v>0</v>
      </c>
      <c r="AB105">
        <f>IF(Table1[[#This Row],[prefarea]]= "yes", 1, 0)</f>
        <v>0</v>
      </c>
      <c r="AC105" s="1">
        <v>6195000</v>
      </c>
    </row>
    <row r="106" spans="1:29">
      <c r="A106">
        <v>5500</v>
      </c>
      <c r="B106" t="s">
        <v>15</v>
      </c>
      <c r="C106">
        <v>3</v>
      </c>
      <c r="D106">
        <v>2</v>
      </c>
      <c r="E106">
        <v>1</v>
      </c>
      <c r="F106" t="s">
        <v>13</v>
      </c>
      <c r="G106" t="s">
        <v>13</v>
      </c>
      <c r="H106" t="s">
        <v>13</v>
      </c>
      <c r="I106" t="s">
        <v>14</v>
      </c>
      <c r="J106" t="s">
        <v>14</v>
      </c>
      <c r="K106">
        <v>2</v>
      </c>
      <c r="L106" t="s">
        <v>13</v>
      </c>
      <c r="M106" s="1">
        <v>6195000</v>
      </c>
      <c r="P106">
        <v>5500</v>
      </c>
      <c r="Q106">
        <f>IF(Table1[[#This Row],[furnishingstatus]]="furnished", 1, 0)</f>
        <v>1</v>
      </c>
      <c r="R106">
        <f>IF(Table1[[#This Row],[furnishingstatus]]="semi-furnished", 1, 0)</f>
        <v>0</v>
      </c>
      <c r="S106">
        <v>3</v>
      </c>
      <c r="T106">
        <v>2</v>
      </c>
      <c r="U106">
        <v>1</v>
      </c>
      <c r="V106">
        <f>IF(Table1[[#This Row],[mainroad]] = "yes", 1, 0)</f>
        <v>1</v>
      </c>
      <c r="W106">
        <f>IF(Table1[[#This Row],[guestroom]]= "yes", 1, 0)</f>
        <v>1</v>
      </c>
      <c r="X106">
        <f>IF(Table1[[#This Row],[basement]]="yes", 1, 0)</f>
        <v>1</v>
      </c>
      <c r="Y106">
        <f>IF(Table1[[#This Row],[hotwaterheating]]="yes", 1, 0)</f>
        <v>0</v>
      </c>
      <c r="Z106">
        <f>IF(Table1[[#This Row],[airconditioning]]="yes", 1, 0)</f>
        <v>0</v>
      </c>
      <c r="AA106">
        <v>2</v>
      </c>
      <c r="AB106">
        <f>IF(Table1[[#This Row],[prefarea]]= "yes", 1, 0)</f>
        <v>1</v>
      </c>
      <c r="AC106" s="1">
        <v>6195000</v>
      </c>
    </row>
    <row r="107" spans="1:29">
      <c r="A107">
        <v>4500</v>
      </c>
      <c r="B107" t="s">
        <v>17</v>
      </c>
      <c r="C107">
        <v>3</v>
      </c>
      <c r="D107">
        <v>1</v>
      </c>
      <c r="E107">
        <v>4</v>
      </c>
      <c r="F107" t="s">
        <v>13</v>
      </c>
      <c r="G107" t="s">
        <v>14</v>
      </c>
      <c r="H107" t="s">
        <v>14</v>
      </c>
      <c r="I107" t="s">
        <v>14</v>
      </c>
      <c r="J107" t="s">
        <v>13</v>
      </c>
      <c r="K107">
        <v>0</v>
      </c>
      <c r="L107" t="s">
        <v>14</v>
      </c>
      <c r="M107" s="1">
        <v>6160000</v>
      </c>
      <c r="P107">
        <v>4500</v>
      </c>
      <c r="Q107">
        <f>IF(Table1[[#This Row],[furnishingstatus]]="furnished", 1, 0)</f>
        <v>0</v>
      </c>
      <c r="R107">
        <f>IF(Table1[[#This Row],[furnishingstatus]]="semi-furnished", 1, 0)</f>
        <v>0</v>
      </c>
      <c r="S107">
        <v>3</v>
      </c>
      <c r="T107">
        <v>1</v>
      </c>
      <c r="U107">
        <v>4</v>
      </c>
      <c r="V107">
        <f>IF(Table1[[#This Row],[mainroad]] = "yes", 1, 0)</f>
        <v>1</v>
      </c>
      <c r="W107">
        <f>IF(Table1[[#This Row],[guestroom]]= "yes", 1, 0)</f>
        <v>0</v>
      </c>
      <c r="X107">
        <f>IF(Table1[[#This Row],[basement]]="yes", 1, 0)</f>
        <v>0</v>
      </c>
      <c r="Y107">
        <f>IF(Table1[[#This Row],[hotwaterheating]]="yes", 1, 0)</f>
        <v>0</v>
      </c>
      <c r="Z107">
        <f>IF(Table1[[#This Row],[airconditioning]]="yes", 1, 0)</f>
        <v>1</v>
      </c>
      <c r="AA107">
        <v>0</v>
      </c>
      <c r="AB107">
        <f>IF(Table1[[#This Row],[prefarea]]= "yes", 1, 0)</f>
        <v>0</v>
      </c>
      <c r="AC107" s="1">
        <v>6160000</v>
      </c>
    </row>
    <row r="108" spans="1:29">
      <c r="A108">
        <v>5450</v>
      </c>
      <c r="B108" t="s">
        <v>16</v>
      </c>
      <c r="C108">
        <v>4</v>
      </c>
      <c r="D108">
        <v>2</v>
      </c>
      <c r="E108">
        <v>1</v>
      </c>
      <c r="F108" t="s">
        <v>13</v>
      </c>
      <c r="G108" t="s">
        <v>14</v>
      </c>
      <c r="H108" t="s">
        <v>13</v>
      </c>
      <c r="I108" t="s">
        <v>14</v>
      </c>
      <c r="J108" t="s">
        <v>13</v>
      </c>
      <c r="K108">
        <v>0</v>
      </c>
      <c r="L108" t="s">
        <v>13</v>
      </c>
      <c r="M108" s="1">
        <v>6160000</v>
      </c>
      <c r="P108">
        <v>5450</v>
      </c>
      <c r="Q108">
        <f>IF(Table1[[#This Row],[furnishingstatus]]="furnished", 1, 0)</f>
        <v>0</v>
      </c>
      <c r="R108">
        <f>IF(Table1[[#This Row],[furnishingstatus]]="semi-furnished", 1, 0)</f>
        <v>1</v>
      </c>
      <c r="S108">
        <v>4</v>
      </c>
      <c r="T108">
        <v>2</v>
      </c>
      <c r="U108">
        <v>1</v>
      </c>
      <c r="V108">
        <f>IF(Table1[[#This Row],[mainroad]] = "yes", 1, 0)</f>
        <v>1</v>
      </c>
      <c r="W108">
        <f>IF(Table1[[#This Row],[guestroom]]= "yes", 1, 0)</f>
        <v>0</v>
      </c>
      <c r="X108">
        <f>IF(Table1[[#This Row],[basement]]="yes", 1, 0)</f>
        <v>1</v>
      </c>
      <c r="Y108">
        <f>IF(Table1[[#This Row],[hotwaterheating]]="yes", 1, 0)</f>
        <v>0</v>
      </c>
      <c r="Z108">
        <f>IF(Table1[[#This Row],[airconditioning]]="yes", 1, 0)</f>
        <v>1</v>
      </c>
      <c r="AA108">
        <v>0</v>
      </c>
      <c r="AB108">
        <f>IF(Table1[[#This Row],[prefarea]]= "yes", 1, 0)</f>
        <v>1</v>
      </c>
      <c r="AC108" s="1">
        <v>6160000</v>
      </c>
    </row>
    <row r="109" spans="1:29">
      <c r="A109">
        <v>6420</v>
      </c>
      <c r="B109" t="s">
        <v>17</v>
      </c>
      <c r="C109">
        <v>3</v>
      </c>
      <c r="D109">
        <v>1</v>
      </c>
      <c r="E109">
        <v>3</v>
      </c>
      <c r="F109" t="s">
        <v>13</v>
      </c>
      <c r="G109" t="s">
        <v>14</v>
      </c>
      <c r="H109" t="s">
        <v>13</v>
      </c>
      <c r="I109" t="s">
        <v>14</v>
      </c>
      <c r="J109" t="s">
        <v>14</v>
      </c>
      <c r="K109">
        <v>0</v>
      </c>
      <c r="L109" t="s">
        <v>13</v>
      </c>
      <c r="M109" s="1">
        <v>6125000</v>
      </c>
      <c r="P109">
        <v>6420</v>
      </c>
      <c r="Q109">
        <f>IF(Table1[[#This Row],[furnishingstatus]]="furnished", 1, 0)</f>
        <v>0</v>
      </c>
      <c r="R109">
        <f>IF(Table1[[#This Row],[furnishingstatus]]="semi-furnished", 1, 0)</f>
        <v>0</v>
      </c>
      <c r="S109">
        <v>3</v>
      </c>
      <c r="T109">
        <v>1</v>
      </c>
      <c r="U109">
        <v>3</v>
      </c>
      <c r="V109">
        <f>IF(Table1[[#This Row],[mainroad]] = "yes", 1, 0)</f>
        <v>1</v>
      </c>
      <c r="W109">
        <f>IF(Table1[[#This Row],[guestroom]]= "yes", 1, 0)</f>
        <v>0</v>
      </c>
      <c r="X109">
        <f>IF(Table1[[#This Row],[basement]]="yes", 1, 0)</f>
        <v>1</v>
      </c>
      <c r="Y109">
        <f>IF(Table1[[#This Row],[hotwaterheating]]="yes", 1, 0)</f>
        <v>0</v>
      </c>
      <c r="Z109">
        <f>IF(Table1[[#This Row],[airconditioning]]="yes", 1, 0)</f>
        <v>0</v>
      </c>
      <c r="AA109">
        <v>0</v>
      </c>
      <c r="AB109">
        <f>IF(Table1[[#This Row],[prefarea]]= "yes", 1, 0)</f>
        <v>1</v>
      </c>
      <c r="AC109" s="1">
        <v>6125000</v>
      </c>
    </row>
    <row r="110" spans="1:29">
      <c r="A110">
        <v>3240</v>
      </c>
      <c r="B110" t="s">
        <v>16</v>
      </c>
      <c r="C110">
        <v>4</v>
      </c>
      <c r="D110">
        <v>1</v>
      </c>
      <c r="E110">
        <v>3</v>
      </c>
      <c r="F110" t="s">
        <v>13</v>
      </c>
      <c r="G110" t="s">
        <v>14</v>
      </c>
      <c r="H110" t="s">
        <v>14</v>
      </c>
      <c r="I110" t="s">
        <v>14</v>
      </c>
      <c r="J110" t="s">
        <v>14</v>
      </c>
      <c r="K110">
        <v>1</v>
      </c>
      <c r="L110" t="s">
        <v>14</v>
      </c>
      <c r="M110" s="1">
        <v>6107500</v>
      </c>
      <c r="P110">
        <v>3240</v>
      </c>
      <c r="Q110">
        <f>IF(Table1[[#This Row],[furnishingstatus]]="furnished", 1, 0)</f>
        <v>0</v>
      </c>
      <c r="R110">
        <f>IF(Table1[[#This Row],[furnishingstatus]]="semi-furnished", 1, 0)</f>
        <v>1</v>
      </c>
      <c r="S110">
        <v>4</v>
      </c>
      <c r="T110">
        <v>1</v>
      </c>
      <c r="U110">
        <v>3</v>
      </c>
      <c r="V110">
        <f>IF(Table1[[#This Row],[mainroad]] = "yes", 1, 0)</f>
        <v>1</v>
      </c>
      <c r="W110">
        <f>IF(Table1[[#This Row],[guestroom]]= "yes", 1, 0)</f>
        <v>0</v>
      </c>
      <c r="X110">
        <f>IF(Table1[[#This Row],[basement]]="yes", 1, 0)</f>
        <v>0</v>
      </c>
      <c r="Y110">
        <f>IF(Table1[[#This Row],[hotwaterheating]]="yes", 1, 0)</f>
        <v>0</v>
      </c>
      <c r="Z110">
        <f>IF(Table1[[#This Row],[airconditioning]]="yes", 1, 0)</f>
        <v>0</v>
      </c>
      <c r="AA110">
        <v>1</v>
      </c>
      <c r="AB110">
        <f>IF(Table1[[#This Row],[prefarea]]= "yes", 1, 0)</f>
        <v>0</v>
      </c>
      <c r="AC110" s="1">
        <v>6107500</v>
      </c>
    </row>
    <row r="111" spans="1:29">
      <c r="A111">
        <v>6615</v>
      </c>
      <c r="B111" t="s">
        <v>16</v>
      </c>
      <c r="C111">
        <v>4</v>
      </c>
      <c r="D111">
        <v>2</v>
      </c>
      <c r="E111">
        <v>2</v>
      </c>
      <c r="F111" t="s">
        <v>13</v>
      </c>
      <c r="G111" t="s">
        <v>13</v>
      </c>
      <c r="H111" t="s">
        <v>14</v>
      </c>
      <c r="I111" t="s">
        <v>13</v>
      </c>
      <c r="J111" t="s">
        <v>14</v>
      </c>
      <c r="K111">
        <v>1</v>
      </c>
      <c r="L111" t="s">
        <v>14</v>
      </c>
      <c r="M111" s="1">
        <v>6090000</v>
      </c>
      <c r="P111">
        <v>6615</v>
      </c>
      <c r="Q111">
        <f>IF(Table1[[#This Row],[furnishingstatus]]="furnished", 1, 0)</f>
        <v>0</v>
      </c>
      <c r="R111">
        <f>IF(Table1[[#This Row],[furnishingstatus]]="semi-furnished", 1, 0)</f>
        <v>1</v>
      </c>
      <c r="S111">
        <v>4</v>
      </c>
      <c r="T111">
        <v>2</v>
      </c>
      <c r="U111">
        <v>2</v>
      </c>
      <c r="V111">
        <f>IF(Table1[[#This Row],[mainroad]] = "yes", 1, 0)</f>
        <v>1</v>
      </c>
      <c r="W111">
        <f>IF(Table1[[#This Row],[guestroom]]= "yes", 1, 0)</f>
        <v>1</v>
      </c>
      <c r="X111">
        <f>IF(Table1[[#This Row],[basement]]="yes", 1, 0)</f>
        <v>0</v>
      </c>
      <c r="Y111">
        <f>IF(Table1[[#This Row],[hotwaterheating]]="yes", 1, 0)</f>
        <v>1</v>
      </c>
      <c r="Z111">
        <f>IF(Table1[[#This Row],[airconditioning]]="yes", 1, 0)</f>
        <v>0</v>
      </c>
      <c r="AA111">
        <v>1</v>
      </c>
      <c r="AB111">
        <f>IF(Table1[[#This Row],[prefarea]]= "yes", 1, 0)</f>
        <v>0</v>
      </c>
      <c r="AC111" s="1">
        <v>6090000</v>
      </c>
    </row>
    <row r="112" spans="1:29">
      <c r="A112">
        <v>6600</v>
      </c>
      <c r="B112" t="s">
        <v>16</v>
      </c>
      <c r="C112">
        <v>3</v>
      </c>
      <c r="D112">
        <v>1</v>
      </c>
      <c r="E112">
        <v>1</v>
      </c>
      <c r="F112" t="s">
        <v>13</v>
      </c>
      <c r="G112" t="s">
        <v>13</v>
      </c>
      <c r="H112" t="s">
        <v>13</v>
      </c>
      <c r="I112" t="s">
        <v>14</v>
      </c>
      <c r="J112" t="s">
        <v>14</v>
      </c>
      <c r="K112">
        <v>2</v>
      </c>
      <c r="L112" t="s">
        <v>13</v>
      </c>
      <c r="M112" s="1">
        <v>6090000</v>
      </c>
      <c r="P112">
        <v>6600</v>
      </c>
      <c r="Q112">
        <f>IF(Table1[[#This Row],[furnishingstatus]]="furnished", 1, 0)</f>
        <v>0</v>
      </c>
      <c r="R112">
        <f>IF(Table1[[#This Row],[furnishingstatus]]="semi-furnished", 1, 0)</f>
        <v>1</v>
      </c>
      <c r="S112">
        <v>3</v>
      </c>
      <c r="T112">
        <v>1</v>
      </c>
      <c r="U112">
        <v>1</v>
      </c>
      <c r="V112">
        <f>IF(Table1[[#This Row],[mainroad]] = "yes", 1, 0)</f>
        <v>1</v>
      </c>
      <c r="W112">
        <f>IF(Table1[[#This Row],[guestroom]]= "yes", 1, 0)</f>
        <v>1</v>
      </c>
      <c r="X112">
        <f>IF(Table1[[#This Row],[basement]]="yes", 1, 0)</f>
        <v>1</v>
      </c>
      <c r="Y112">
        <f>IF(Table1[[#This Row],[hotwaterheating]]="yes", 1, 0)</f>
        <v>0</v>
      </c>
      <c r="Z112">
        <f>IF(Table1[[#This Row],[airconditioning]]="yes", 1, 0)</f>
        <v>0</v>
      </c>
      <c r="AA112">
        <v>2</v>
      </c>
      <c r="AB112">
        <f>IF(Table1[[#This Row],[prefarea]]= "yes", 1, 0)</f>
        <v>1</v>
      </c>
      <c r="AC112" s="1">
        <v>6090000</v>
      </c>
    </row>
    <row r="113" spans="1:29">
      <c r="A113">
        <v>8372</v>
      </c>
      <c r="B113" t="s">
        <v>17</v>
      </c>
      <c r="C113">
        <v>3</v>
      </c>
      <c r="D113">
        <v>1</v>
      </c>
      <c r="E113">
        <v>3</v>
      </c>
      <c r="F113" t="s">
        <v>13</v>
      </c>
      <c r="G113" t="s">
        <v>14</v>
      </c>
      <c r="H113" t="s">
        <v>14</v>
      </c>
      <c r="I113" t="s">
        <v>14</v>
      </c>
      <c r="J113" t="s">
        <v>13</v>
      </c>
      <c r="K113">
        <v>2</v>
      </c>
      <c r="L113" t="s">
        <v>14</v>
      </c>
      <c r="M113" s="1">
        <v>6090000</v>
      </c>
      <c r="P113">
        <v>8372</v>
      </c>
      <c r="Q113">
        <f>IF(Table1[[#This Row],[furnishingstatus]]="furnished", 1, 0)</f>
        <v>0</v>
      </c>
      <c r="R113">
        <f>IF(Table1[[#This Row],[furnishingstatus]]="semi-furnished", 1, 0)</f>
        <v>0</v>
      </c>
      <c r="S113">
        <v>3</v>
      </c>
      <c r="T113">
        <v>1</v>
      </c>
      <c r="U113">
        <v>3</v>
      </c>
      <c r="V113">
        <f>IF(Table1[[#This Row],[mainroad]] = "yes", 1, 0)</f>
        <v>1</v>
      </c>
      <c r="W113">
        <f>IF(Table1[[#This Row],[guestroom]]= "yes", 1, 0)</f>
        <v>0</v>
      </c>
      <c r="X113">
        <f>IF(Table1[[#This Row],[basement]]="yes", 1, 0)</f>
        <v>0</v>
      </c>
      <c r="Y113">
        <f>IF(Table1[[#This Row],[hotwaterheating]]="yes", 1, 0)</f>
        <v>0</v>
      </c>
      <c r="Z113">
        <f>IF(Table1[[#This Row],[airconditioning]]="yes", 1, 0)</f>
        <v>1</v>
      </c>
      <c r="AA113">
        <v>2</v>
      </c>
      <c r="AB113">
        <f>IF(Table1[[#This Row],[prefarea]]= "yes", 1, 0)</f>
        <v>0</v>
      </c>
      <c r="AC113" s="1">
        <v>6090000</v>
      </c>
    </row>
    <row r="114" spans="1:29">
      <c r="A114">
        <v>4300</v>
      </c>
      <c r="B114" t="s">
        <v>15</v>
      </c>
      <c r="C114">
        <v>6</v>
      </c>
      <c r="D114">
        <v>2</v>
      </c>
      <c r="E114">
        <v>2</v>
      </c>
      <c r="F114" t="s">
        <v>13</v>
      </c>
      <c r="G114" t="s">
        <v>14</v>
      </c>
      <c r="H114" t="s">
        <v>14</v>
      </c>
      <c r="I114" t="s">
        <v>14</v>
      </c>
      <c r="J114" t="s">
        <v>14</v>
      </c>
      <c r="K114">
        <v>0</v>
      </c>
      <c r="L114" t="s">
        <v>14</v>
      </c>
      <c r="M114" s="1">
        <v>6083000</v>
      </c>
      <c r="P114">
        <v>4300</v>
      </c>
      <c r="Q114">
        <f>IF(Table1[[#This Row],[furnishingstatus]]="furnished", 1, 0)</f>
        <v>1</v>
      </c>
      <c r="R114">
        <f>IF(Table1[[#This Row],[furnishingstatus]]="semi-furnished", 1, 0)</f>
        <v>0</v>
      </c>
      <c r="S114">
        <v>6</v>
      </c>
      <c r="T114">
        <v>2</v>
      </c>
      <c r="U114">
        <v>2</v>
      </c>
      <c r="V114">
        <f>IF(Table1[[#This Row],[mainroad]] = "yes", 1, 0)</f>
        <v>1</v>
      </c>
      <c r="W114">
        <f>IF(Table1[[#This Row],[guestroom]]= "yes", 1, 0)</f>
        <v>0</v>
      </c>
      <c r="X114">
        <f>IF(Table1[[#This Row],[basement]]="yes", 1, 0)</f>
        <v>0</v>
      </c>
      <c r="Y114">
        <f>IF(Table1[[#This Row],[hotwaterheating]]="yes", 1, 0)</f>
        <v>0</v>
      </c>
      <c r="Z114">
        <f>IF(Table1[[#This Row],[airconditioning]]="yes", 1, 0)</f>
        <v>0</v>
      </c>
      <c r="AA114">
        <v>0</v>
      </c>
      <c r="AB114">
        <f>IF(Table1[[#This Row],[prefarea]]= "yes", 1, 0)</f>
        <v>0</v>
      </c>
      <c r="AC114" s="1">
        <v>6083000</v>
      </c>
    </row>
    <row r="115" spans="1:29">
      <c r="A115">
        <v>9620</v>
      </c>
      <c r="B115" t="s">
        <v>15</v>
      </c>
      <c r="C115">
        <v>3</v>
      </c>
      <c r="D115">
        <v>1</v>
      </c>
      <c r="E115">
        <v>1</v>
      </c>
      <c r="F115" t="s">
        <v>13</v>
      </c>
      <c r="G115" t="s">
        <v>14</v>
      </c>
      <c r="H115" t="s">
        <v>13</v>
      </c>
      <c r="I115" t="s">
        <v>14</v>
      </c>
      <c r="J115" t="s">
        <v>14</v>
      </c>
      <c r="K115">
        <v>2</v>
      </c>
      <c r="L115" t="s">
        <v>13</v>
      </c>
      <c r="M115" s="1">
        <v>6083000</v>
      </c>
      <c r="P115">
        <v>9620</v>
      </c>
      <c r="Q115">
        <f>IF(Table1[[#This Row],[furnishingstatus]]="furnished", 1, 0)</f>
        <v>1</v>
      </c>
      <c r="R115">
        <f>IF(Table1[[#This Row],[furnishingstatus]]="semi-furnished", 1, 0)</f>
        <v>0</v>
      </c>
      <c r="S115">
        <v>3</v>
      </c>
      <c r="T115">
        <v>1</v>
      </c>
      <c r="U115">
        <v>1</v>
      </c>
      <c r="V115">
        <f>IF(Table1[[#This Row],[mainroad]] = "yes", 1, 0)</f>
        <v>1</v>
      </c>
      <c r="W115">
        <f>IF(Table1[[#This Row],[guestroom]]= "yes", 1, 0)</f>
        <v>0</v>
      </c>
      <c r="X115">
        <f>IF(Table1[[#This Row],[basement]]="yes", 1, 0)</f>
        <v>1</v>
      </c>
      <c r="Y115">
        <f>IF(Table1[[#This Row],[hotwaterheating]]="yes", 1, 0)</f>
        <v>0</v>
      </c>
      <c r="Z115">
        <f>IF(Table1[[#This Row],[airconditioning]]="yes", 1, 0)</f>
        <v>0</v>
      </c>
      <c r="AA115">
        <v>2</v>
      </c>
      <c r="AB115">
        <f>IF(Table1[[#This Row],[prefarea]]= "yes", 1, 0)</f>
        <v>1</v>
      </c>
      <c r="AC115" s="1">
        <v>6083000</v>
      </c>
    </row>
    <row r="116" spans="1:29">
      <c r="A116">
        <v>6800</v>
      </c>
      <c r="B116" t="s">
        <v>15</v>
      </c>
      <c r="C116">
        <v>2</v>
      </c>
      <c r="D116">
        <v>1</v>
      </c>
      <c r="E116">
        <v>1</v>
      </c>
      <c r="F116" t="s">
        <v>13</v>
      </c>
      <c r="G116" t="s">
        <v>13</v>
      </c>
      <c r="H116" t="s">
        <v>13</v>
      </c>
      <c r="I116" t="s">
        <v>14</v>
      </c>
      <c r="J116" t="s">
        <v>14</v>
      </c>
      <c r="K116">
        <v>2</v>
      </c>
      <c r="L116" t="s">
        <v>14</v>
      </c>
      <c r="M116" s="1">
        <v>6020000</v>
      </c>
      <c r="P116">
        <v>6800</v>
      </c>
      <c r="Q116">
        <f>IF(Table1[[#This Row],[furnishingstatus]]="furnished", 1, 0)</f>
        <v>1</v>
      </c>
      <c r="R116">
        <f>IF(Table1[[#This Row],[furnishingstatus]]="semi-furnished", 1, 0)</f>
        <v>0</v>
      </c>
      <c r="S116">
        <v>2</v>
      </c>
      <c r="T116">
        <v>1</v>
      </c>
      <c r="U116">
        <v>1</v>
      </c>
      <c r="V116">
        <f>IF(Table1[[#This Row],[mainroad]] = "yes", 1, 0)</f>
        <v>1</v>
      </c>
      <c r="W116">
        <f>IF(Table1[[#This Row],[guestroom]]= "yes", 1, 0)</f>
        <v>1</v>
      </c>
      <c r="X116">
        <f>IF(Table1[[#This Row],[basement]]="yes", 1, 0)</f>
        <v>1</v>
      </c>
      <c r="Y116">
        <f>IF(Table1[[#This Row],[hotwaterheating]]="yes", 1, 0)</f>
        <v>0</v>
      </c>
      <c r="Z116">
        <f>IF(Table1[[#This Row],[airconditioning]]="yes", 1, 0)</f>
        <v>0</v>
      </c>
      <c r="AA116">
        <v>2</v>
      </c>
      <c r="AB116">
        <f>IF(Table1[[#This Row],[prefarea]]= "yes", 1, 0)</f>
        <v>0</v>
      </c>
      <c r="AC116" s="1">
        <v>6020000</v>
      </c>
    </row>
    <row r="117" spans="1:29">
      <c r="A117">
        <v>8000</v>
      </c>
      <c r="B117" t="s">
        <v>16</v>
      </c>
      <c r="C117">
        <v>3</v>
      </c>
      <c r="D117">
        <v>1</v>
      </c>
      <c r="E117">
        <v>1</v>
      </c>
      <c r="F117" t="s">
        <v>13</v>
      </c>
      <c r="G117" t="s">
        <v>13</v>
      </c>
      <c r="H117" t="s">
        <v>13</v>
      </c>
      <c r="I117" t="s">
        <v>14</v>
      </c>
      <c r="J117" t="s">
        <v>13</v>
      </c>
      <c r="K117">
        <v>2</v>
      </c>
      <c r="L117" t="s">
        <v>13</v>
      </c>
      <c r="M117" s="1">
        <v>6020000</v>
      </c>
      <c r="P117">
        <v>8000</v>
      </c>
      <c r="Q117">
        <f>IF(Table1[[#This Row],[furnishingstatus]]="furnished", 1, 0)</f>
        <v>0</v>
      </c>
      <c r="R117">
        <f>IF(Table1[[#This Row],[furnishingstatus]]="semi-furnished", 1, 0)</f>
        <v>1</v>
      </c>
      <c r="S117">
        <v>3</v>
      </c>
      <c r="T117">
        <v>1</v>
      </c>
      <c r="U117">
        <v>1</v>
      </c>
      <c r="V117">
        <f>IF(Table1[[#This Row],[mainroad]] = "yes", 1, 0)</f>
        <v>1</v>
      </c>
      <c r="W117">
        <f>IF(Table1[[#This Row],[guestroom]]= "yes", 1, 0)</f>
        <v>1</v>
      </c>
      <c r="X117">
        <f>IF(Table1[[#This Row],[basement]]="yes", 1, 0)</f>
        <v>1</v>
      </c>
      <c r="Y117">
        <f>IF(Table1[[#This Row],[hotwaterheating]]="yes", 1, 0)</f>
        <v>0</v>
      </c>
      <c r="Z117">
        <f>IF(Table1[[#This Row],[airconditioning]]="yes", 1, 0)</f>
        <v>1</v>
      </c>
      <c r="AA117">
        <v>2</v>
      </c>
      <c r="AB117">
        <f>IF(Table1[[#This Row],[prefarea]]= "yes", 1, 0)</f>
        <v>1</v>
      </c>
      <c r="AC117" s="1">
        <v>6020000</v>
      </c>
    </row>
    <row r="118" spans="1:29">
      <c r="A118">
        <v>6900</v>
      </c>
      <c r="B118" t="s">
        <v>17</v>
      </c>
      <c r="C118">
        <v>3</v>
      </c>
      <c r="D118">
        <v>2</v>
      </c>
      <c r="E118">
        <v>1</v>
      </c>
      <c r="F118" t="s">
        <v>13</v>
      </c>
      <c r="G118" t="s">
        <v>13</v>
      </c>
      <c r="H118" t="s">
        <v>13</v>
      </c>
      <c r="I118" t="s">
        <v>14</v>
      </c>
      <c r="J118" t="s">
        <v>14</v>
      </c>
      <c r="K118">
        <v>0</v>
      </c>
      <c r="L118" t="s">
        <v>13</v>
      </c>
      <c r="M118" s="1">
        <v>6020000</v>
      </c>
      <c r="P118">
        <v>6900</v>
      </c>
      <c r="Q118">
        <f>IF(Table1[[#This Row],[furnishingstatus]]="furnished", 1, 0)</f>
        <v>0</v>
      </c>
      <c r="R118">
        <f>IF(Table1[[#This Row],[furnishingstatus]]="semi-furnished", 1, 0)</f>
        <v>0</v>
      </c>
      <c r="S118">
        <v>3</v>
      </c>
      <c r="T118">
        <v>2</v>
      </c>
      <c r="U118">
        <v>1</v>
      </c>
      <c r="V118">
        <f>IF(Table1[[#This Row],[mainroad]] = "yes", 1, 0)</f>
        <v>1</v>
      </c>
      <c r="W118">
        <f>IF(Table1[[#This Row],[guestroom]]= "yes", 1, 0)</f>
        <v>1</v>
      </c>
      <c r="X118">
        <f>IF(Table1[[#This Row],[basement]]="yes", 1, 0)</f>
        <v>1</v>
      </c>
      <c r="Y118">
        <f>IF(Table1[[#This Row],[hotwaterheating]]="yes", 1, 0)</f>
        <v>0</v>
      </c>
      <c r="Z118">
        <f>IF(Table1[[#This Row],[airconditioning]]="yes", 1, 0)</f>
        <v>0</v>
      </c>
      <c r="AA118">
        <v>0</v>
      </c>
      <c r="AB118">
        <f>IF(Table1[[#This Row],[prefarea]]= "yes", 1, 0)</f>
        <v>1</v>
      </c>
      <c r="AC118" s="1">
        <v>6020000</v>
      </c>
    </row>
    <row r="119" spans="1:29">
      <c r="A119">
        <v>3700</v>
      </c>
      <c r="B119" t="s">
        <v>15</v>
      </c>
      <c r="C119">
        <v>4</v>
      </c>
      <c r="D119">
        <v>1</v>
      </c>
      <c r="E119">
        <v>2</v>
      </c>
      <c r="F119" t="s">
        <v>13</v>
      </c>
      <c r="G119" t="s">
        <v>13</v>
      </c>
      <c r="H119" t="s">
        <v>14</v>
      </c>
      <c r="I119" t="s">
        <v>14</v>
      </c>
      <c r="J119" t="s">
        <v>13</v>
      </c>
      <c r="K119">
        <v>0</v>
      </c>
      <c r="L119" t="s">
        <v>14</v>
      </c>
      <c r="M119" s="1">
        <v>5950000</v>
      </c>
      <c r="P119">
        <v>3700</v>
      </c>
      <c r="Q119">
        <f>IF(Table1[[#This Row],[furnishingstatus]]="furnished", 1, 0)</f>
        <v>1</v>
      </c>
      <c r="R119">
        <f>IF(Table1[[#This Row],[furnishingstatus]]="semi-furnished", 1, 0)</f>
        <v>0</v>
      </c>
      <c r="S119">
        <v>4</v>
      </c>
      <c r="T119">
        <v>1</v>
      </c>
      <c r="U119">
        <v>2</v>
      </c>
      <c r="V119">
        <f>IF(Table1[[#This Row],[mainroad]] = "yes", 1, 0)</f>
        <v>1</v>
      </c>
      <c r="W119">
        <f>IF(Table1[[#This Row],[guestroom]]= "yes", 1, 0)</f>
        <v>1</v>
      </c>
      <c r="X119">
        <f>IF(Table1[[#This Row],[basement]]="yes", 1, 0)</f>
        <v>0</v>
      </c>
      <c r="Y119">
        <f>IF(Table1[[#This Row],[hotwaterheating]]="yes", 1, 0)</f>
        <v>0</v>
      </c>
      <c r="Z119">
        <f>IF(Table1[[#This Row],[airconditioning]]="yes", 1, 0)</f>
        <v>1</v>
      </c>
      <c r="AA119">
        <v>0</v>
      </c>
      <c r="AB119">
        <f>IF(Table1[[#This Row],[prefarea]]= "yes", 1, 0)</f>
        <v>0</v>
      </c>
      <c r="AC119" s="1">
        <v>5950000</v>
      </c>
    </row>
    <row r="120" spans="1:29">
      <c r="A120">
        <v>6420</v>
      </c>
      <c r="B120" t="s">
        <v>15</v>
      </c>
      <c r="C120">
        <v>3</v>
      </c>
      <c r="D120">
        <v>1</v>
      </c>
      <c r="E120">
        <v>1</v>
      </c>
      <c r="F120" t="s">
        <v>13</v>
      </c>
      <c r="G120" t="s">
        <v>14</v>
      </c>
      <c r="H120" t="s">
        <v>13</v>
      </c>
      <c r="I120" t="s">
        <v>14</v>
      </c>
      <c r="J120" t="s">
        <v>13</v>
      </c>
      <c r="K120">
        <v>0</v>
      </c>
      <c r="L120" t="s">
        <v>13</v>
      </c>
      <c r="M120" s="1">
        <v>5950000</v>
      </c>
      <c r="P120">
        <v>6420</v>
      </c>
      <c r="Q120">
        <f>IF(Table1[[#This Row],[furnishingstatus]]="furnished", 1, 0)</f>
        <v>1</v>
      </c>
      <c r="R120">
        <f>IF(Table1[[#This Row],[furnishingstatus]]="semi-furnished", 1, 0)</f>
        <v>0</v>
      </c>
      <c r="S120">
        <v>3</v>
      </c>
      <c r="T120">
        <v>1</v>
      </c>
      <c r="U120">
        <v>1</v>
      </c>
      <c r="V120">
        <f>IF(Table1[[#This Row],[mainroad]] = "yes", 1, 0)</f>
        <v>1</v>
      </c>
      <c r="W120">
        <f>IF(Table1[[#This Row],[guestroom]]= "yes", 1, 0)</f>
        <v>0</v>
      </c>
      <c r="X120">
        <f>IF(Table1[[#This Row],[basement]]="yes", 1, 0)</f>
        <v>1</v>
      </c>
      <c r="Y120">
        <f>IF(Table1[[#This Row],[hotwaterheating]]="yes", 1, 0)</f>
        <v>0</v>
      </c>
      <c r="Z120">
        <f>IF(Table1[[#This Row],[airconditioning]]="yes", 1, 0)</f>
        <v>1</v>
      </c>
      <c r="AA120">
        <v>0</v>
      </c>
      <c r="AB120">
        <f>IF(Table1[[#This Row],[prefarea]]= "yes", 1, 0)</f>
        <v>1</v>
      </c>
      <c r="AC120" s="1">
        <v>5950000</v>
      </c>
    </row>
    <row r="121" spans="1:29">
      <c r="A121">
        <v>7020</v>
      </c>
      <c r="B121" t="s">
        <v>16</v>
      </c>
      <c r="C121">
        <v>3</v>
      </c>
      <c r="D121">
        <v>1</v>
      </c>
      <c r="E121">
        <v>1</v>
      </c>
      <c r="F121" t="s">
        <v>13</v>
      </c>
      <c r="G121" t="s">
        <v>14</v>
      </c>
      <c r="H121" t="s">
        <v>13</v>
      </c>
      <c r="I121" t="s">
        <v>14</v>
      </c>
      <c r="J121" t="s">
        <v>13</v>
      </c>
      <c r="K121">
        <v>2</v>
      </c>
      <c r="L121" t="s">
        <v>13</v>
      </c>
      <c r="M121" s="1">
        <v>5950000</v>
      </c>
      <c r="P121">
        <v>7020</v>
      </c>
      <c r="Q121">
        <f>IF(Table1[[#This Row],[furnishingstatus]]="furnished", 1, 0)</f>
        <v>0</v>
      </c>
      <c r="R121">
        <f>IF(Table1[[#This Row],[furnishingstatus]]="semi-furnished", 1, 0)</f>
        <v>1</v>
      </c>
      <c r="S121">
        <v>3</v>
      </c>
      <c r="T121">
        <v>1</v>
      </c>
      <c r="U121">
        <v>1</v>
      </c>
      <c r="V121">
        <f>IF(Table1[[#This Row],[mainroad]] = "yes", 1, 0)</f>
        <v>1</v>
      </c>
      <c r="W121">
        <f>IF(Table1[[#This Row],[guestroom]]= "yes", 1, 0)</f>
        <v>0</v>
      </c>
      <c r="X121">
        <f>IF(Table1[[#This Row],[basement]]="yes", 1, 0)</f>
        <v>1</v>
      </c>
      <c r="Y121">
        <f>IF(Table1[[#This Row],[hotwaterheating]]="yes", 1, 0)</f>
        <v>0</v>
      </c>
      <c r="Z121">
        <f>IF(Table1[[#This Row],[airconditioning]]="yes", 1, 0)</f>
        <v>1</v>
      </c>
      <c r="AA121">
        <v>2</v>
      </c>
      <c r="AB121">
        <f>IF(Table1[[#This Row],[prefarea]]= "yes", 1, 0)</f>
        <v>1</v>
      </c>
      <c r="AC121" s="1">
        <v>5950000</v>
      </c>
    </row>
    <row r="122" spans="1:29">
      <c r="A122">
        <v>6540</v>
      </c>
      <c r="B122" t="s">
        <v>15</v>
      </c>
      <c r="C122">
        <v>3</v>
      </c>
      <c r="D122">
        <v>1</v>
      </c>
      <c r="E122">
        <v>1</v>
      </c>
      <c r="F122" t="s">
        <v>13</v>
      </c>
      <c r="G122" t="s">
        <v>13</v>
      </c>
      <c r="H122" t="s">
        <v>13</v>
      </c>
      <c r="I122" t="s">
        <v>14</v>
      </c>
      <c r="J122" t="s">
        <v>14</v>
      </c>
      <c r="K122">
        <v>2</v>
      </c>
      <c r="L122" t="s">
        <v>13</v>
      </c>
      <c r="M122" s="1">
        <v>5950000</v>
      </c>
      <c r="P122">
        <v>6540</v>
      </c>
      <c r="Q122">
        <f>IF(Table1[[#This Row],[furnishingstatus]]="furnished", 1, 0)</f>
        <v>1</v>
      </c>
      <c r="R122">
        <f>IF(Table1[[#This Row],[furnishingstatus]]="semi-furnished", 1, 0)</f>
        <v>0</v>
      </c>
      <c r="S122">
        <v>3</v>
      </c>
      <c r="T122">
        <v>1</v>
      </c>
      <c r="U122">
        <v>1</v>
      </c>
      <c r="V122">
        <f>IF(Table1[[#This Row],[mainroad]] = "yes", 1, 0)</f>
        <v>1</v>
      </c>
      <c r="W122">
        <f>IF(Table1[[#This Row],[guestroom]]= "yes", 1, 0)</f>
        <v>1</v>
      </c>
      <c r="X122">
        <f>IF(Table1[[#This Row],[basement]]="yes", 1, 0)</f>
        <v>1</v>
      </c>
      <c r="Y122">
        <f>IF(Table1[[#This Row],[hotwaterheating]]="yes", 1, 0)</f>
        <v>0</v>
      </c>
      <c r="Z122">
        <f>IF(Table1[[#This Row],[airconditioning]]="yes", 1, 0)</f>
        <v>0</v>
      </c>
      <c r="AA122">
        <v>2</v>
      </c>
      <c r="AB122">
        <f>IF(Table1[[#This Row],[prefarea]]= "yes", 1, 0)</f>
        <v>1</v>
      </c>
      <c r="AC122" s="1">
        <v>5950000</v>
      </c>
    </row>
    <row r="123" spans="1:29">
      <c r="A123">
        <v>7231</v>
      </c>
      <c r="B123" t="s">
        <v>16</v>
      </c>
      <c r="C123">
        <v>3</v>
      </c>
      <c r="D123">
        <v>1</v>
      </c>
      <c r="E123">
        <v>2</v>
      </c>
      <c r="F123" t="s">
        <v>13</v>
      </c>
      <c r="G123" t="s">
        <v>13</v>
      </c>
      <c r="H123" t="s">
        <v>13</v>
      </c>
      <c r="I123" t="s">
        <v>14</v>
      </c>
      <c r="J123" t="s">
        <v>13</v>
      </c>
      <c r="K123">
        <v>0</v>
      </c>
      <c r="L123" t="s">
        <v>13</v>
      </c>
      <c r="M123" s="1">
        <v>5950000</v>
      </c>
      <c r="P123">
        <v>7231</v>
      </c>
      <c r="Q123">
        <f>IF(Table1[[#This Row],[furnishingstatus]]="furnished", 1, 0)</f>
        <v>0</v>
      </c>
      <c r="R123">
        <f>IF(Table1[[#This Row],[furnishingstatus]]="semi-furnished", 1, 0)</f>
        <v>1</v>
      </c>
      <c r="S123">
        <v>3</v>
      </c>
      <c r="T123">
        <v>1</v>
      </c>
      <c r="U123">
        <v>2</v>
      </c>
      <c r="V123">
        <f>IF(Table1[[#This Row],[mainroad]] = "yes", 1, 0)</f>
        <v>1</v>
      </c>
      <c r="W123">
        <f>IF(Table1[[#This Row],[guestroom]]= "yes", 1, 0)</f>
        <v>1</v>
      </c>
      <c r="X123">
        <f>IF(Table1[[#This Row],[basement]]="yes", 1, 0)</f>
        <v>1</v>
      </c>
      <c r="Y123">
        <f>IF(Table1[[#This Row],[hotwaterheating]]="yes", 1, 0)</f>
        <v>0</v>
      </c>
      <c r="Z123">
        <f>IF(Table1[[#This Row],[airconditioning]]="yes", 1, 0)</f>
        <v>1</v>
      </c>
      <c r="AA123">
        <v>0</v>
      </c>
      <c r="AB123">
        <f>IF(Table1[[#This Row],[prefarea]]= "yes", 1, 0)</f>
        <v>1</v>
      </c>
      <c r="AC123" s="1">
        <v>5950000</v>
      </c>
    </row>
    <row r="124" spans="1:29">
      <c r="A124">
        <v>6254</v>
      </c>
      <c r="B124" t="s">
        <v>16</v>
      </c>
      <c r="C124">
        <v>4</v>
      </c>
      <c r="D124">
        <v>2</v>
      </c>
      <c r="E124">
        <v>1</v>
      </c>
      <c r="F124" t="s">
        <v>13</v>
      </c>
      <c r="G124" t="s">
        <v>14</v>
      </c>
      <c r="H124" t="s">
        <v>13</v>
      </c>
      <c r="I124" t="s">
        <v>14</v>
      </c>
      <c r="J124" t="s">
        <v>14</v>
      </c>
      <c r="K124">
        <v>1</v>
      </c>
      <c r="L124" t="s">
        <v>13</v>
      </c>
      <c r="M124" s="1">
        <v>5950000</v>
      </c>
      <c r="P124">
        <v>6254</v>
      </c>
      <c r="Q124">
        <f>IF(Table1[[#This Row],[furnishingstatus]]="furnished", 1, 0)</f>
        <v>0</v>
      </c>
      <c r="R124">
        <f>IF(Table1[[#This Row],[furnishingstatus]]="semi-furnished", 1, 0)</f>
        <v>1</v>
      </c>
      <c r="S124">
        <v>4</v>
      </c>
      <c r="T124">
        <v>2</v>
      </c>
      <c r="U124">
        <v>1</v>
      </c>
      <c r="V124">
        <f>IF(Table1[[#This Row],[mainroad]] = "yes", 1, 0)</f>
        <v>1</v>
      </c>
      <c r="W124">
        <f>IF(Table1[[#This Row],[guestroom]]= "yes", 1, 0)</f>
        <v>0</v>
      </c>
      <c r="X124">
        <f>IF(Table1[[#This Row],[basement]]="yes", 1, 0)</f>
        <v>1</v>
      </c>
      <c r="Y124">
        <f>IF(Table1[[#This Row],[hotwaterheating]]="yes", 1, 0)</f>
        <v>0</v>
      </c>
      <c r="Z124">
        <f>IF(Table1[[#This Row],[airconditioning]]="yes", 1, 0)</f>
        <v>0</v>
      </c>
      <c r="AA124">
        <v>1</v>
      </c>
      <c r="AB124">
        <f>IF(Table1[[#This Row],[prefarea]]= "yes", 1, 0)</f>
        <v>1</v>
      </c>
      <c r="AC124" s="1">
        <v>5950000</v>
      </c>
    </row>
    <row r="125" spans="1:29">
      <c r="A125">
        <v>7320</v>
      </c>
      <c r="B125" t="s">
        <v>15</v>
      </c>
      <c r="C125">
        <v>4</v>
      </c>
      <c r="D125">
        <v>2</v>
      </c>
      <c r="E125">
        <v>2</v>
      </c>
      <c r="F125" t="s">
        <v>13</v>
      </c>
      <c r="G125" t="s">
        <v>14</v>
      </c>
      <c r="H125" t="s">
        <v>14</v>
      </c>
      <c r="I125" t="s">
        <v>14</v>
      </c>
      <c r="J125" t="s">
        <v>14</v>
      </c>
      <c r="K125">
        <v>0</v>
      </c>
      <c r="L125" t="s">
        <v>14</v>
      </c>
      <c r="M125" s="1">
        <v>5950000</v>
      </c>
      <c r="P125">
        <v>7320</v>
      </c>
      <c r="Q125">
        <f>IF(Table1[[#This Row],[furnishingstatus]]="furnished", 1, 0)</f>
        <v>1</v>
      </c>
      <c r="R125">
        <f>IF(Table1[[#This Row],[furnishingstatus]]="semi-furnished", 1, 0)</f>
        <v>0</v>
      </c>
      <c r="S125">
        <v>4</v>
      </c>
      <c r="T125">
        <v>2</v>
      </c>
      <c r="U125">
        <v>2</v>
      </c>
      <c r="V125">
        <f>IF(Table1[[#This Row],[mainroad]] = "yes", 1, 0)</f>
        <v>1</v>
      </c>
      <c r="W125">
        <f>IF(Table1[[#This Row],[guestroom]]= "yes", 1, 0)</f>
        <v>0</v>
      </c>
      <c r="X125">
        <f>IF(Table1[[#This Row],[basement]]="yes", 1, 0)</f>
        <v>0</v>
      </c>
      <c r="Y125">
        <f>IF(Table1[[#This Row],[hotwaterheating]]="yes", 1, 0)</f>
        <v>0</v>
      </c>
      <c r="Z125">
        <f>IF(Table1[[#This Row],[airconditioning]]="yes", 1, 0)</f>
        <v>0</v>
      </c>
      <c r="AA125">
        <v>0</v>
      </c>
      <c r="AB125">
        <f>IF(Table1[[#This Row],[prefarea]]= "yes", 1, 0)</f>
        <v>0</v>
      </c>
      <c r="AC125" s="1">
        <v>5950000</v>
      </c>
    </row>
    <row r="126" spans="1:29">
      <c r="A126">
        <v>6525</v>
      </c>
      <c r="B126" t="s">
        <v>15</v>
      </c>
      <c r="C126">
        <v>3</v>
      </c>
      <c r="D126">
        <v>2</v>
      </c>
      <c r="E126">
        <v>4</v>
      </c>
      <c r="F126" t="s">
        <v>13</v>
      </c>
      <c r="G126" t="s">
        <v>14</v>
      </c>
      <c r="H126" t="s">
        <v>14</v>
      </c>
      <c r="I126" t="s">
        <v>14</v>
      </c>
      <c r="J126" t="s">
        <v>14</v>
      </c>
      <c r="K126">
        <v>1</v>
      </c>
      <c r="L126" t="s">
        <v>14</v>
      </c>
      <c r="M126" s="1">
        <v>5950000</v>
      </c>
      <c r="P126">
        <v>6525</v>
      </c>
      <c r="Q126">
        <f>IF(Table1[[#This Row],[furnishingstatus]]="furnished", 1, 0)</f>
        <v>1</v>
      </c>
      <c r="R126">
        <f>IF(Table1[[#This Row],[furnishingstatus]]="semi-furnished", 1, 0)</f>
        <v>0</v>
      </c>
      <c r="S126">
        <v>3</v>
      </c>
      <c r="T126">
        <v>2</v>
      </c>
      <c r="U126">
        <v>4</v>
      </c>
      <c r="V126">
        <f>IF(Table1[[#This Row],[mainroad]] = "yes", 1, 0)</f>
        <v>1</v>
      </c>
      <c r="W126">
        <f>IF(Table1[[#This Row],[guestroom]]= "yes", 1, 0)</f>
        <v>0</v>
      </c>
      <c r="X126">
        <f>IF(Table1[[#This Row],[basement]]="yes", 1, 0)</f>
        <v>0</v>
      </c>
      <c r="Y126">
        <f>IF(Table1[[#This Row],[hotwaterheating]]="yes", 1, 0)</f>
        <v>0</v>
      </c>
      <c r="Z126">
        <f>IF(Table1[[#This Row],[airconditioning]]="yes", 1, 0)</f>
        <v>0</v>
      </c>
      <c r="AA126">
        <v>1</v>
      </c>
      <c r="AB126">
        <f>IF(Table1[[#This Row],[prefarea]]= "yes", 1, 0)</f>
        <v>0</v>
      </c>
      <c r="AC126" s="1">
        <v>5950000</v>
      </c>
    </row>
    <row r="127" spans="1:29">
      <c r="A127">
        <v>15600</v>
      </c>
      <c r="B127" t="s">
        <v>16</v>
      </c>
      <c r="C127">
        <v>3</v>
      </c>
      <c r="D127">
        <v>1</v>
      </c>
      <c r="E127">
        <v>1</v>
      </c>
      <c r="F127" t="s">
        <v>13</v>
      </c>
      <c r="G127" t="s">
        <v>14</v>
      </c>
      <c r="H127" t="s">
        <v>14</v>
      </c>
      <c r="I127" t="s">
        <v>14</v>
      </c>
      <c r="J127" t="s">
        <v>13</v>
      </c>
      <c r="K127">
        <v>2</v>
      </c>
      <c r="L127" t="s">
        <v>14</v>
      </c>
      <c r="M127" s="1">
        <v>5943000</v>
      </c>
      <c r="P127">
        <v>15600</v>
      </c>
      <c r="Q127">
        <f>IF(Table1[[#This Row],[furnishingstatus]]="furnished", 1, 0)</f>
        <v>0</v>
      </c>
      <c r="R127">
        <f>IF(Table1[[#This Row],[furnishingstatus]]="semi-furnished", 1, 0)</f>
        <v>1</v>
      </c>
      <c r="S127">
        <v>3</v>
      </c>
      <c r="T127">
        <v>1</v>
      </c>
      <c r="U127">
        <v>1</v>
      </c>
      <c r="V127">
        <f>IF(Table1[[#This Row],[mainroad]] = "yes", 1, 0)</f>
        <v>1</v>
      </c>
      <c r="W127">
        <f>IF(Table1[[#This Row],[guestroom]]= "yes", 1, 0)</f>
        <v>0</v>
      </c>
      <c r="X127">
        <f>IF(Table1[[#This Row],[basement]]="yes", 1, 0)</f>
        <v>0</v>
      </c>
      <c r="Y127">
        <f>IF(Table1[[#This Row],[hotwaterheating]]="yes", 1, 0)</f>
        <v>0</v>
      </c>
      <c r="Z127">
        <f>IF(Table1[[#This Row],[airconditioning]]="yes", 1, 0)</f>
        <v>1</v>
      </c>
      <c r="AA127">
        <v>2</v>
      </c>
      <c r="AB127">
        <f>IF(Table1[[#This Row],[prefarea]]= "yes", 1, 0)</f>
        <v>0</v>
      </c>
      <c r="AC127" s="1">
        <v>5943000</v>
      </c>
    </row>
    <row r="128" spans="1:29">
      <c r="A128">
        <v>7160</v>
      </c>
      <c r="B128" t="s">
        <v>17</v>
      </c>
      <c r="C128">
        <v>3</v>
      </c>
      <c r="D128">
        <v>1</v>
      </c>
      <c r="E128">
        <v>1</v>
      </c>
      <c r="F128" t="s">
        <v>13</v>
      </c>
      <c r="G128" t="s">
        <v>14</v>
      </c>
      <c r="H128" t="s">
        <v>13</v>
      </c>
      <c r="I128" t="s">
        <v>14</v>
      </c>
      <c r="J128" t="s">
        <v>14</v>
      </c>
      <c r="K128">
        <v>2</v>
      </c>
      <c r="L128" t="s">
        <v>13</v>
      </c>
      <c r="M128" s="1">
        <v>5880000</v>
      </c>
      <c r="P128">
        <v>7160</v>
      </c>
      <c r="Q128">
        <f>IF(Table1[[#This Row],[furnishingstatus]]="furnished", 1, 0)</f>
        <v>0</v>
      </c>
      <c r="R128">
        <f>IF(Table1[[#This Row],[furnishingstatus]]="semi-furnished", 1, 0)</f>
        <v>0</v>
      </c>
      <c r="S128">
        <v>3</v>
      </c>
      <c r="T128">
        <v>1</v>
      </c>
      <c r="U128">
        <v>1</v>
      </c>
      <c r="V128">
        <f>IF(Table1[[#This Row],[mainroad]] = "yes", 1, 0)</f>
        <v>1</v>
      </c>
      <c r="W128">
        <f>IF(Table1[[#This Row],[guestroom]]= "yes", 1, 0)</f>
        <v>0</v>
      </c>
      <c r="X128">
        <f>IF(Table1[[#This Row],[basement]]="yes", 1, 0)</f>
        <v>1</v>
      </c>
      <c r="Y128">
        <f>IF(Table1[[#This Row],[hotwaterheating]]="yes", 1, 0)</f>
        <v>0</v>
      </c>
      <c r="Z128">
        <f>IF(Table1[[#This Row],[airconditioning]]="yes", 1, 0)</f>
        <v>0</v>
      </c>
      <c r="AA128">
        <v>2</v>
      </c>
      <c r="AB128">
        <f>IF(Table1[[#This Row],[prefarea]]= "yes", 1, 0)</f>
        <v>1</v>
      </c>
      <c r="AC128" s="1">
        <v>5880000</v>
      </c>
    </row>
    <row r="129" spans="1:29">
      <c r="A129">
        <v>6500</v>
      </c>
      <c r="B129" t="s">
        <v>17</v>
      </c>
      <c r="C129">
        <v>3</v>
      </c>
      <c r="D129">
        <v>2</v>
      </c>
      <c r="E129">
        <v>3</v>
      </c>
      <c r="F129" t="s">
        <v>13</v>
      </c>
      <c r="G129" t="s">
        <v>14</v>
      </c>
      <c r="H129" t="s">
        <v>14</v>
      </c>
      <c r="I129" t="s">
        <v>14</v>
      </c>
      <c r="J129" t="s">
        <v>13</v>
      </c>
      <c r="K129">
        <v>0</v>
      </c>
      <c r="L129" t="s">
        <v>14</v>
      </c>
      <c r="M129" s="1">
        <v>5880000</v>
      </c>
      <c r="P129">
        <v>6500</v>
      </c>
      <c r="Q129">
        <f>IF(Table1[[#This Row],[furnishingstatus]]="furnished", 1, 0)</f>
        <v>0</v>
      </c>
      <c r="R129">
        <f>IF(Table1[[#This Row],[furnishingstatus]]="semi-furnished", 1, 0)</f>
        <v>0</v>
      </c>
      <c r="S129">
        <v>3</v>
      </c>
      <c r="T129">
        <v>2</v>
      </c>
      <c r="U129">
        <v>3</v>
      </c>
      <c r="V129">
        <f>IF(Table1[[#This Row],[mainroad]] = "yes", 1, 0)</f>
        <v>1</v>
      </c>
      <c r="W129">
        <f>IF(Table1[[#This Row],[guestroom]]= "yes", 1, 0)</f>
        <v>0</v>
      </c>
      <c r="X129">
        <f>IF(Table1[[#This Row],[basement]]="yes", 1, 0)</f>
        <v>0</v>
      </c>
      <c r="Y129">
        <f>IF(Table1[[#This Row],[hotwaterheating]]="yes", 1, 0)</f>
        <v>0</v>
      </c>
      <c r="Z129">
        <f>IF(Table1[[#This Row],[airconditioning]]="yes", 1, 0)</f>
        <v>1</v>
      </c>
      <c r="AA129">
        <v>0</v>
      </c>
      <c r="AB129">
        <f>IF(Table1[[#This Row],[prefarea]]= "yes", 1, 0)</f>
        <v>0</v>
      </c>
      <c r="AC129" s="1">
        <v>5880000</v>
      </c>
    </row>
    <row r="130" spans="1:29">
      <c r="A130">
        <v>5500</v>
      </c>
      <c r="B130" t="s">
        <v>15</v>
      </c>
      <c r="C130">
        <v>3</v>
      </c>
      <c r="D130">
        <v>1</v>
      </c>
      <c r="E130">
        <v>3</v>
      </c>
      <c r="F130" t="s">
        <v>13</v>
      </c>
      <c r="G130" t="s">
        <v>13</v>
      </c>
      <c r="H130" t="s">
        <v>14</v>
      </c>
      <c r="I130" t="s">
        <v>14</v>
      </c>
      <c r="J130" t="s">
        <v>13</v>
      </c>
      <c r="K130">
        <v>1</v>
      </c>
      <c r="L130" t="s">
        <v>14</v>
      </c>
      <c r="M130" s="1">
        <v>5873000</v>
      </c>
      <c r="P130">
        <v>5500</v>
      </c>
      <c r="Q130">
        <f>IF(Table1[[#This Row],[furnishingstatus]]="furnished", 1, 0)</f>
        <v>1</v>
      </c>
      <c r="R130">
        <f>IF(Table1[[#This Row],[furnishingstatus]]="semi-furnished", 1, 0)</f>
        <v>0</v>
      </c>
      <c r="S130">
        <v>3</v>
      </c>
      <c r="T130">
        <v>1</v>
      </c>
      <c r="U130">
        <v>3</v>
      </c>
      <c r="V130">
        <f>IF(Table1[[#This Row],[mainroad]] = "yes", 1, 0)</f>
        <v>1</v>
      </c>
      <c r="W130">
        <f>IF(Table1[[#This Row],[guestroom]]= "yes", 1, 0)</f>
        <v>1</v>
      </c>
      <c r="X130">
        <f>IF(Table1[[#This Row],[basement]]="yes", 1, 0)</f>
        <v>0</v>
      </c>
      <c r="Y130">
        <f>IF(Table1[[#This Row],[hotwaterheating]]="yes", 1, 0)</f>
        <v>0</v>
      </c>
      <c r="Z130">
        <f>IF(Table1[[#This Row],[airconditioning]]="yes", 1, 0)</f>
        <v>1</v>
      </c>
      <c r="AA130">
        <v>1</v>
      </c>
      <c r="AB130">
        <f>IF(Table1[[#This Row],[prefarea]]= "yes", 1, 0)</f>
        <v>0</v>
      </c>
      <c r="AC130" s="1">
        <v>5873000</v>
      </c>
    </row>
    <row r="131" spans="1:29">
      <c r="A131">
        <v>11460</v>
      </c>
      <c r="B131" t="s">
        <v>16</v>
      </c>
      <c r="C131">
        <v>3</v>
      </c>
      <c r="D131">
        <v>1</v>
      </c>
      <c r="E131">
        <v>3</v>
      </c>
      <c r="F131" t="s">
        <v>13</v>
      </c>
      <c r="G131" t="s">
        <v>14</v>
      </c>
      <c r="H131" t="s">
        <v>14</v>
      </c>
      <c r="I131" t="s">
        <v>14</v>
      </c>
      <c r="J131" t="s">
        <v>14</v>
      </c>
      <c r="K131">
        <v>2</v>
      </c>
      <c r="L131" t="s">
        <v>13</v>
      </c>
      <c r="M131" s="1">
        <v>5873000</v>
      </c>
      <c r="P131">
        <v>11460</v>
      </c>
      <c r="Q131">
        <f>IF(Table1[[#This Row],[furnishingstatus]]="furnished", 1, 0)</f>
        <v>0</v>
      </c>
      <c r="R131">
        <f>IF(Table1[[#This Row],[furnishingstatus]]="semi-furnished", 1, 0)</f>
        <v>1</v>
      </c>
      <c r="S131">
        <v>3</v>
      </c>
      <c r="T131">
        <v>1</v>
      </c>
      <c r="U131">
        <v>3</v>
      </c>
      <c r="V131">
        <f>IF(Table1[[#This Row],[mainroad]] = "yes", 1, 0)</f>
        <v>1</v>
      </c>
      <c r="W131">
        <f>IF(Table1[[#This Row],[guestroom]]= "yes", 1, 0)</f>
        <v>0</v>
      </c>
      <c r="X131">
        <f>IF(Table1[[#This Row],[basement]]="yes", 1, 0)</f>
        <v>0</v>
      </c>
      <c r="Y131">
        <f>IF(Table1[[#This Row],[hotwaterheating]]="yes", 1, 0)</f>
        <v>0</v>
      </c>
      <c r="Z131">
        <f>IF(Table1[[#This Row],[airconditioning]]="yes", 1, 0)</f>
        <v>0</v>
      </c>
      <c r="AA131">
        <v>2</v>
      </c>
      <c r="AB131">
        <f>IF(Table1[[#This Row],[prefarea]]= "yes", 1, 0)</f>
        <v>1</v>
      </c>
      <c r="AC131" s="1">
        <v>5873000</v>
      </c>
    </row>
    <row r="132" spans="1:29">
      <c r="A132">
        <v>4800</v>
      </c>
      <c r="B132" t="s">
        <v>17</v>
      </c>
      <c r="C132">
        <v>3</v>
      </c>
      <c r="D132">
        <v>1</v>
      </c>
      <c r="E132">
        <v>1</v>
      </c>
      <c r="F132" t="s">
        <v>13</v>
      </c>
      <c r="G132" t="s">
        <v>13</v>
      </c>
      <c r="H132" t="s">
        <v>13</v>
      </c>
      <c r="I132" t="s">
        <v>14</v>
      </c>
      <c r="J132" t="s">
        <v>14</v>
      </c>
      <c r="K132">
        <v>0</v>
      </c>
      <c r="L132" t="s">
        <v>14</v>
      </c>
      <c r="M132" s="1">
        <v>5866000</v>
      </c>
      <c r="P132">
        <v>4800</v>
      </c>
      <c r="Q132">
        <f>IF(Table1[[#This Row],[furnishingstatus]]="furnished", 1, 0)</f>
        <v>0</v>
      </c>
      <c r="R132">
        <f>IF(Table1[[#This Row],[furnishingstatus]]="semi-furnished", 1, 0)</f>
        <v>0</v>
      </c>
      <c r="S132">
        <v>3</v>
      </c>
      <c r="T132">
        <v>1</v>
      </c>
      <c r="U132">
        <v>1</v>
      </c>
      <c r="V132">
        <f>IF(Table1[[#This Row],[mainroad]] = "yes", 1, 0)</f>
        <v>1</v>
      </c>
      <c r="W132">
        <f>IF(Table1[[#This Row],[guestroom]]= "yes", 1, 0)</f>
        <v>1</v>
      </c>
      <c r="X132">
        <f>IF(Table1[[#This Row],[basement]]="yes", 1, 0)</f>
        <v>1</v>
      </c>
      <c r="Y132">
        <f>IF(Table1[[#This Row],[hotwaterheating]]="yes", 1, 0)</f>
        <v>0</v>
      </c>
      <c r="Z132">
        <f>IF(Table1[[#This Row],[airconditioning]]="yes", 1, 0)</f>
        <v>0</v>
      </c>
      <c r="AA132">
        <v>0</v>
      </c>
      <c r="AB132">
        <f>IF(Table1[[#This Row],[prefarea]]= "yes", 1, 0)</f>
        <v>0</v>
      </c>
      <c r="AC132" s="1">
        <v>5866000</v>
      </c>
    </row>
    <row r="133" spans="1:29">
      <c r="A133">
        <v>5828</v>
      </c>
      <c r="B133" t="s">
        <v>16</v>
      </c>
      <c r="C133">
        <v>4</v>
      </c>
      <c r="D133">
        <v>1</v>
      </c>
      <c r="E133">
        <v>4</v>
      </c>
      <c r="F133" t="s">
        <v>13</v>
      </c>
      <c r="G133" t="s">
        <v>13</v>
      </c>
      <c r="H133" t="s">
        <v>14</v>
      </c>
      <c r="I133" t="s">
        <v>14</v>
      </c>
      <c r="J133" t="s">
        <v>14</v>
      </c>
      <c r="K133">
        <v>0</v>
      </c>
      <c r="L133" t="s">
        <v>14</v>
      </c>
      <c r="M133" s="1">
        <v>5810000</v>
      </c>
      <c r="P133">
        <v>5828</v>
      </c>
      <c r="Q133">
        <f>IF(Table1[[#This Row],[furnishingstatus]]="furnished", 1, 0)</f>
        <v>0</v>
      </c>
      <c r="R133">
        <f>IF(Table1[[#This Row],[furnishingstatus]]="semi-furnished", 1, 0)</f>
        <v>1</v>
      </c>
      <c r="S133">
        <v>4</v>
      </c>
      <c r="T133">
        <v>1</v>
      </c>
      <c r="U133">
        <v>4</v>
      </c>
      <c r="V133">
        <f>IF(Table1[[#This Row],[mainroad]] = "yes", 1, 0)</f>
        <v>1</v>
      </c>
      <c r="W133">
        <f>IF(Table1[[#This Row],[guestroom]]= "yes", 1, 0)</f>
        <v>1</v>
      </c>
      <c r="X133">
        <f>IF(Table1[[#This Row],[basement]]="yes", 1, 0)</f>
        <v>0</v>
      </c>
      <c r="Y133">
        <f>IF(Table1[[#This Row],[hotwaterheating]]="yes", 1, 0)</f>
        <v>0</v>
      </c>
      <c r="Z133">
        <f>IF(Table1[[#This Row],[airconditioning]]="yes", 1, 0)</f>
        <v>0</v>
      </c>
      <c r="AA133">
        <v>0</v>
      </c>
      <c r="AB133">
        <f>IF(Table1[[#This Row],[prefarea]]= "yes", 1, 0)</f>
        <v>0</v>
      </c>
      <c r="AC133" s="1">
        <v>5810000</v>
      </c>
    </row>
    <row r="134" spans="1:29">
      <c r="A134">
        <v>5200</v>
      </c>
      <c r="B134" t="s">
        <v>16</v>
      </c>
      <c r="C134">
        <v>3</v>
      </c>
      <c r="D134">
        <v>1</v>
      </c>
      <c r="E134">
        <v>3</v>
      </c>
      <c r="F134" t="s">
        <v>13</v>
      </c>
      <c r="G134" t="s">
        <v>14</v>
      </c>
      <c r="H134" t="s">
        <v>14</v>
      </c>
      <c r="I134" t="s">
        <v>14</v>
      </c>
      <c r="J134" t="s">
        <v>13</v>
      </c>
      <c r="K134">
        <v>0</v>
      </c>
      <c r="L134" t="s">
        <v>14</v>
      </c>
      <c r="M134" s="1">
        <v>5810000</v>
      </c>
      <c r="P134">
        <v>5200</v>
      </c>
      <c r="Q134">
        <f>IF(Table1[[#This Row],[furnishingstatus]]="furnished", 1, 0)</f>
        <v>0</v>
      </c>
      <c r="R134">
        <f>IF(Table1[[#This Row],[furnishingstatus]]="semi-furnished", 1, 0)</f>
        <v>1</v>
      </c>
      <c r="S134">
        <v>3</v>
      </c>
      <c r="T134">
        <v>1</v>
      </c>
      <c r="U134">
        <v>3</v>
      </c>
      <c r="V134">
        <f>IF(Table1[[#This Row],[mainroad]] = "yes", 1, 0)</f>
        <v>1</v>
      </c>
      <c r="W134">
        <f>IF(Table1[[#This Row],[guestroom]]= "yes", 1, 0)</f>
        <v>0</v>
      </c>
      <c r="X134">
        <f>IF(Table1[[#This Row],[basement]]="yes", 1, 0)</f>
        <v>0</v>
      </c>
      <c r="Y134">
        <f>IF(Table1[[#This Row],[hotwaterheating]]="yes", 1, 0)</f>
        <v>0</v>
      </c>
      <c r="Z134">
        <f>IF(Table1[[#This Row],[airconditioning]]="yes", 1, 0)</f>
        <v>1</v>
      </c>
      <c r="AA134">
        <v>0</v>
      </c>
      <c r="AB134">
        <f>IF(Table1[[#This Row],[prefarea]]= "yes", 1, 0)</f>
        <v>0</v>
      </c>
      <c r="AC134" s="1">
        <v>5810000</v>
      </c>
    </row>
    <row r="135" spans="1:29">
      <c r="A135">
        <v>4800</v>
      </c>
      <c r="B135" t="s">
        <v>17</v>
      </c>
      <c r="C135">
        <v>3</v>
      </c>
      <c r="D135">
        <v>1</v>
      </c>
      <c r="E135">
        <v>3</v>
      </c>
      <c r="F135" t="s">
        <v>13</v>
      </c>
      <c r="G135" t="s">
        <v>14</v>
      </c>
      <c r="H135" t="s">
        <v>14</v>
      </c>
      <c r="I135" t="s">
        <v>14</v>
      </c>
      <c r="J135" t="s">
        <v>13</v>
      </c>
      <c r="K135">
        <v>0</v>
      </c>
      <c r="L135" t="s">
        <v>14</v>
      </c>
      <c r="M135" s="1">
        <v>5810000</v>
      </c>
      <c r="P135">
        <v>4800</v>
      </c>
      <c r="Q135">
        <f>IF(Table1[[#This Row],[furnishingstatus]]="furnished", 1, 0)</f>
        <v>0</v>
      </c>
      <c r="R135">
        <f>IF(Table1[[#This Row],[furnishingstatus]]="semi-furnished", 1, 0)</f>
        <v>0</v>
      </c>
      <c r="S135">
        <v>3</v>
      </c>
      <c r="T135">
        <v>1</v>
      </c>
      <c r="U135">
        <v>3</v>
      </c>
      <c r="V135">
        <f>IF(Table1[[#This Row],[mainroad]] = "yes", 1, 0)</f>
        <v>1</v>
      </c>
      <c r="W135">
        <f>IF(Table1[[#This Row],[guestroom]]= "yes", 1, 0)</f>
        <v>0</v>
      </c>
      <c r="X135">
        <f>IF(Table1[[#This Row],[basement]]="yes", 1, 0)</f>
        <v>0</v>
      </c>
      <c r="Y135">
        <f>IF(Table1[[#This Row],[hotwaterheating]]="yes", 1, 0)</f>
        <v>0</v>
      </c>
      <c r="Z135">
        <f>IF(Table1[[#This Row],[airconditioning]]="yes", 1, 0)</f>
        <v>1</v>
      </c>
      <c r="AA135">
        <v>0</v>
      </c>
      <c r="AB135">
        <f>IF(Table1[[#This Row],[prefarea]]= "yes", 1, 0)</f>
        <v>0</v>
      </c>
      <c r="AC135" s="1">
        <v>5810000</v>
      </c>
    </row>
    <row r="136" spans="1:29">
      <c r="A136">
        <v>7000</v>
      </c>
      <c r="B136" t="s">
        <v>16</v>
      </c>
      <c r="C136">
        <v>3</v>
      </c>
      <c r="D136">
        <v>1</v>
      </c>
      <c r="E136">
        <v>1</v>
      </c>
      <c r="F136" t="s">
        <v>13</v>
      </c>
      <c r="G136" t="s">
        <v>14</v>
      </c>
      <c r="H136" t="s">
        <v>13</v>
      </c>
      <c r="I136" t="s">
        <v>14</v>
      </c>
      <c r="J136" t="s">
        <v>14</v>
      </c>
      <c r="K136">
        <v>2</v>
      </c>
      <c r="L136" t="s">
        <v>13</v>
      </c>
      <c r="M136" s="1">
        <v>5803000</v>
      </c>
      <c r="P136">
        <v>7000</v>
      </c>
      <c r="Q136">
        <f>IF(Table1[[#This Row],[furnishingstatus]]="furnished", 1, 0)</f>
        <v>0</v>
      </c>
      <c r="R136">
        <f>IF(Table1[[#This Row],[furnishingstatus]]="semi-furnished", 1, 0)</f>
        <v>1</v>
      </c>
      <c r="S136">
        <v>3</v>
      </c>
      <c r="T136">
        <v>1</v>
      </c>
      <c r="U136">
        <v>1</v>
      </c>
      <c r="V136">
        <f>IF(Table1[[#This Row],[mainroad]] = "yes", 1, 0)</f>
        <v>1</v>
      </c>
      <c r="W136">
        <f>IF(Table1[[#This Row],[guestroom]]= "yes", 1, 0)</f>
        <v>0</v>
      </c>
      <c r="X136">
        <f>IF(Table1[[#This Row],[basement]]="yes", 1, 0)</f>
        <v>1</v>
      </c>
      <c r="Y136">
        <f>IF(Table1[[#This Row],[hotwaterheating]]="yes", 1, 0)</f>
        <v>0</v>
      </c>
      <c r="Z136">
        <f>IF(Table1[[#This Row],[airconditioning]]="yes", 1, 0)</f>
        <v>0</v>
      </c>
      <c r="AA136">
        <v>2</v>
      </c>
      <c r="AB136">
        <f>IF(Table1[[#This Row],[prefarea]]= "yes", 1, 0)</f>
        <v>1</v>
      </c>
      <c r="AC136" s="1">
        <v>5803000</v>
      </c>
    </row>
    <row r="137" spans="1:29">
      <c r="A137">
        <v>6000</v>
      </c>
      <c r="B137" t="s">
        <v>17</v>
      </c>
      <c r="C137">
        <v>3</v>
      </c>
      <c r="D137">
        <v>2</v>
      </c>
      <c r="E137">
        <v>4</v>
      </c>
      <c r="F137" t="s">
        <v>13</v>
      </c>
      <c r="G137" t="s">
        <v>14</v>
      </c>
      <c r="H137" t="s">
        <v>14</v>
      </c>
      <c r="I137" t="s">
        <v>14</v>
      </c>
      <c r="J137" t="s">
        <v>13</v>
      </c>
      <c r="K137">
        <v>0</v>
      </c>
      <c r="L137" t="s">
        <v>14</v>
      </c>
      <c r="M137" s="1">
        <v>5775000</v>
      </c>
      <c r="P137">
        <v>6000</v>
      </c>
      <c r="Q137">
        <f>IF(Table1[[#This Row],[furnishingstatus]]="furnished", 1, 0)</f>
        <v>0</v>
      </c>
      <c r="R137">
        <f>IF(Table1[[#This Row],[furnishingstatus]]="semi-furnished", 1, 0)</f>
        <v>0</v>
      </c>
      <c r="S137">
        <v>3</v>
      </c>
      <c r="T137">
        <v>2</v>
      </c>
      <c r="U137">
        <v>4</v>
      </c>
      <c r="V137">
        <f>IF(Table1[[#This Row],[mainroad]] = "yes", 1, 0)</f>
        <v>1</v>
      </c>
      <c r="W137">
        <f>IF(Table1[[#This Row],[guestroom]]= "yes", 1, 0)</f>
        <v>0</v>
      </c>
      <c r="X137">
        <f>IF(Table1[[#This Row],[basement]]="yes", 1, 0)</f>
        <v>0</v>
      </c>
      <c r="Y137">
        <f>IF(Table1[[#This Row],[hotwaterheating]]="yes", 1, 0)</f>
        <v>0</v>
      </c>
      <c r="Z137">
        <f>IF(Table1[[#This Row],[airconditioning]]="yes", 1, 0)</f>
        <v>1</v>
      </c>
      <c r="AA137">
        <v>0</v>
      </c>
      <c r="AB137">
        <f>IF(Table1[[#This Row],[prefarea]]= "yes", 1, 0)</f>
        <v>0</v>
      </c>
      <c r="AC137" s="1">
        <v>5775000</v>
      </c>
    </row>
    <row r="138" spans="1:29">
      <c r="A138">
        <v>5400</v>
      </c>
      <c r="B138" t="s">
        <v>17</v>
      </c>
      <c r="C138">
        <v>4</v>
      </c>
      <c r="D138">
        <v>2</v>
      </c>
      <c r="E138">
        <v>2</v>
      </c>
      <c r="F138" t="s">
        <v>13</v>
      </c>
      <c r="G138" t="s">
        <v>14</v>
      </c>
      <c r="H138" t="s">
        <v>14</v>
      </c>
      <c r="I138" t="s">
        <v>14</v>
      </c>
      <c r="J138" t="s">
        <v>13</v>
      </c>
      <c r="K138">
        <v>2</v>
      </c>
      <c r="L138" t="s">
        <v>14</v>
      </c>
      <c r="M138" s="1">
        <v>5740000</v>
      </c>
      <c r="P138">
        <v>5400</v>
      </c>
      <c r="Q138">
        <f>IF(Table1[[#This Row],[furnishingstatus]]="furnished", 1, 0)</f>
        <v>0</v>
      </c>
      <c r="R138">
        <f>IF(Table1[[#This Row],[furnishingstatus]]="semi-furnished", 1, 0)</f>
        <v>0</v>
      </c>
      <c r="S138">
        <v>4</v>
      </c>
      <c r="T138">
        <v>2</v>
      </c>
      <c r="U138">
        <v>2</v>
      </c>
      <c r="V138">
        <f>IF(Table1[[#This Row],[mainroad]] = "yes", 1, 0)</f>
        <v>1</v>
      </c>
      <c r="W138">
        <f>IF(Table1[[#This Row],[guestroom]]= "yes", 1, 0)</f>
        <v>0</v>
      </c>
      <c r="X138">
        <f>IF(Table1[[#This Row],[basement]]="yes", 1, 0)</f>
        <v>0</v>
      </c>
      <c r="Y138">
        <f>IF(Table1[[#This Row],[hotwaterheating]]="yes", 1, 0)</f>
        <v>0</v>
      </c>
      <c r="Z138">
        <f>IF(Table1[[#This Row],[airconditioning]]="yes", 1, 0)</f>
        <v>1</v>
      </c>
      <c r="AA138">
        <v>2</v>
      </c>
      <c r="AB138">
        <f>IF(Table1[[#This Row],[prefarea]]= "yes", 1, 0)</f>
        <v>0</v>
      </c>
      <c r="AC138" s="1">
        <v>5740000</v>
      </c>
    </row>
    <row r="139" spans="1:29">
      <c r="A139">
        <v>4640</v>
      </c>
      <c r="B139" t="s">
        <v>16</v>
      </c>
      <c r="C139">
        <v>4</v>
      </c>
      <c r="D139">
        <v>1</v>
      </c>
      <c r="E139">
        <v>2</v>
      </c>
      <c r="F139" t="s">
        <v>13</v>
      </c>
      <c r="G139" t="s">
        <v>14</v>
      </c>
      <c r="H139" t="s">
        <v>14</v>
      </c>
      <c r="I139" t="s">
        <v>14</v>
      </c>
      <c r="J139" t="s">
        <v>14</v>
      </c>
      <c r="K139">
        <v>1</v>
      </c>
      <c r="L139" t="s">
        <v>14</v>
      </c>
      <c r="M139" s="1">
        <v>5740000</v>
      </c>
      <c r="P139">
        <v>4640</v>
      </c>
      <c r="Q139">
        <f>IF(Table1[[#This Row],[furnishingstatus]]="furnished", 1, 0)</f>
        <v>0</v>
      </c>
      <c r="R139">
        <f>IF(Table1[[#This Row],[furnishingstatus]]="semi-furnished", 1, 0)</f>
        <v>1</v>
      </c>
      <c r="S139">
        <v>4</v>
      </c>
      <c r="T139">
        <v>1</v>
      </c>
      <c r="U139">
        <v>2</v>
      </c>
      <c r="V139">
        <f>IF(Table1[[#This Row],[mainroad]] = "yes", 1, 0)</f>
        <v>1</v>
      </c>
      <c r="W139">
        <f>IF(Table1[[#This Row],[guestroom]]= "yes", 1, 0)</f>
        <v>0</v>
      </c>
      <c r="X139">
        <f>IF(Table1[[#This Row],[basement]]="yes", 1, 0)</f>
        <v>0</v>
      </c>
      <c r="Y139">
        <f>IF(Table1[[#This Row],[hotwaterheating]]="yes", 1, 0)</f>
        <v>0</v>
      </c>
      <c r="Z139">
        <f>IF(Table1[[#This Row],[airconditioning]]="yes", 1, 0)</f>
        <v>0</v>
      </c>
      <c r="AA139">
        <v>1</v>
      </c>
      <c r="AB139">
        <f>IF(Table1[[#This Row],[prefarea]]= "yes", 1, 0)</f>
        <v>0</v>
      </c>
      <c r="AC139" s="1">
        <v>5740000</v>
      </c>
    </row>
    <row r="140" spans="1:29">
      <c r="A140">
        <v>5000</v>
      </c>
      <c r="B140" t="s">
        <v>16</v>
      </c>
      <c r="C140">
        <v>3</v>
      </c>
      <c r="D140">
        <v>1</v>
      </c>
      <c r="E140">
        <v>3</v>
      </c>
      <c r="F140" t="s">
        <v>13</v>
      </c>
      <c r="G140" t="s">
        <v>14</v>
      </c>
      <c r="H140" t="s">
        <v>14</v>
      </c>
      <c r="I140" t="s">
        <v>14</v>
      </c>
      <c r="J140" t="s">
        <v>13</v>
      </c>
      <c r="K140">
        <v>0</v>
      </c>
      <c r="L140" t="s">
        <v>14</v>
      </c>
      <c r="M140" s="1">
        <v>5740000</v>
      </c>
      <c r="P140">
        <v>5000</v>
      </c>
      <c r="Q140">
        <f>IF(Table1[[#This Row],[furnishingstatus]]="furnished", 1, 0)</f>
        <v>0</v>
      </c>
      <c r="R140">
        <f>IF(Table1[[#This Row],[furnishingstatus]]="semi-furnished", 1, 0)</f>
        <v>1</v>
      </c>
      <c r="S140">
        <v>3</v>
      </c>
      <c r="T140">
        <v>1</v>
      </c>
      <c r="U140">
        <v>3</v>
      </c>
      <c r="V140">
        <f>IF(Table1[[#This Row],[mainroad]] = "yes", 1, 0)</f>
        <v>1</v>
      </c>
      <c r="W140">
        <f>IF(Table1[[#This Row],[guestroom]]= "yes", 1, 0)</f>
        <v>0</v>
      </c>
      <c r="X140">
        <f>IF(Table1[[#This Row],[basement]]="yes", 1, 0)</f>
        <v>0</v>
      </c>
      <c r="Y140">
        <f>IF(Table1[[#This Row],[hotwaterheating]]="yes", 1, 0)</f>
        <v>0</v>
      </c>
      <c r="Z140">
        <f>IF(Table1[[#This Row],[airconditioning]]="yes", 1, 0)</f>
        <v>1</v>
      </c>
      <c r="AA140">
        <v>0</v>
      </c>
      <c r="AB140">
        <f>IF(Table1[[#This Row],[prefarea]]= "yes", 1, 0)</f>
        <v>0</v>
      </c>
      <c r="AC140" s="1">
        <v>5740000</v>
      </c>
    </row>
    <row r="141" spans="1:29">
      <c r="A141">
        <v>6360</v>
      </c>
      <c r="B141" t="s">
        <v>15</v>
      </c>
      <c r="C141">
        <v>3</v>
      </c>
      <c r="D141">
        <v>1</v>
      </c>
      <c r="E141">
        <v>1</v>
      </c>
      <c r="F141" t="s">
        <v>13</v>
      </c>
      <c r="G141" t="s">
        <v>13</v>
      </c>
      <c r="H141" t="s">
        <v>13</v>
      </c>
      <c r="I141" t="s">
        <v>14</v>
      </c>
      <c r="J141" t="s">
        <v>13</v>
      </c>
      <c r="K141">
        <v>2</v>
      </c>
      <c r="L141" t="s">
        <v>13</v>
      </c>
      <c r="M141" s="1">
        <v>5740000</v>
      </c>
      <c r="P141">
        <v>6360</v>
      </c>
      <c r="Q141">
        <f>IF(Table1[[#This Row],[furnishingstatus]]="furnished", 1, 0)</f>
        <v>1</v>
      </c>
      <c r="R141">
        <f>IF(Table1[[#This Row],[furnishingstatus]]="semi-furnished", 1, 0)</f>
        <v>0</v>
      </c>
      <c r="S141">
        <v>3</v>
      </c>
      <c r="T141">
        <v>1</v>
      </c>
      <c r="U141">
        <v>1</v>
      </c>
      <c r="V141">
        <f>IF(Table1[[#This Row],[mainroad]] = "yes", 1, 0)</f>
        <v>1</v>
      </c>
      <c r="W141">
        <f>IF(Table1[[#This Row],[guestroom]]= "yes", 1, 0)</f>
        <v>1</v>
      </c>
      <c r="X141">
        <f>IF(Table1[[#This Row],[basement]]="yes", 1, 0)</f>
        <v>1</v>
      </c>
      <c r="Y141">
        <f>IF(Table1[[#This Row],[hotwaterheating]]="yes", 1, 0)</f>
        <v>0</v>
      </c>
      <c r="Z141">
        <f>IF(Table1[[#This Row],[airconditioning]]="yes", 1, 0)</f>
        <v>1</v>
      </c>
      <c r="AA141">
        <v>2</v>
      </c>
      <c r="AB141">
        <f>IF(Table1[[#This Row],[prefarea]]= "yes", 1, 0)</f>
        <v>1</v>
      </c>
      <c r="AC141" s="1">
        <v>5740000</v>
      </c>
    </row>
    <row r="142" spans="1:29">
      <c r="A142">
        <v>5800</v>
      </c>
      <c r="B142" t="s">
        <v>17</v>
      </c>
      <c r="C142">
        <v>3</v>
      </c>
      <c r="D142">
        <v>2</v>
      </c>
      <c r="E142">
        <v>4</v>
      </c>
      <c r="F142" t="s">
        <v>13</v>
      </c>
      <c r="G142" t="s">
        <v>14</v>
      </c>
      <c r="H142" t="s">
        <v>14</v>
      </c>
      <c r="I142" t="s">
        <v>14</v>
      </c>
      <c r="J142" t="s">
        <v>13</v>
      </c>
      <c r="K142">
        <v>0</v>
      </c>
      <c r="L142" t="s">
        <v>14</v>
      </c>
      <c r="M142" s="1">
        <v>5740000</v>
      </c>
      <c r="P142">
        <v>5800</v>
      </c>
      <c r="Q142">
        <f>IF(Table1[[#This Row],[furnishingstatus]]="furnished", 1, 0)</f>
        <v>0</v>
      </c>
      <c r="R142">
        <f>IF(Table1[[#This Row],[furnishingstatus]]="semi-furnished", 1, 0)</f>
        <v>0</v>
      </c>
      <c r="S142">
        <v>3</v>
      </c>
      <c r="T142">
        <v>2</v>
      </c>
      <c r="U142">
        <v>4</v>
      </c>
      <c r="V142">
        <f>IF(Table1[[#This Row],[mainroad]] = "yes", 1, 0)</f>
        <v>1</v>
      </c>
      <c r="W142">
        <f>IF(Table1[[#This Row],[guestroom]]= "yes", 1, 0)</f>
        <v>0</v>
      </c>
      <c r="X142">
        <f>IF(Table1[[#This Row],[basement]]="yes", 1, 0)</f>
        <v>0</v>
      </c>
      <c r="Y142">
        <f>IF(Table1[[#This Row],[hotwaterheating]]="yes", 1, 0)</f>
        <v>0</v>
      </c>
      <c r="Z142">
        <f>IF(Table1[[#This Row],[airconditioning]]="yes", 1, 0)</f>
        <v>1</v>
      </c>
      <c r="AA142">
        <v>0</v>
      </c>
      <c r="AB142">
        <f>IF(Table1[[#This Row],[prefarea]]= "yes", 1, 0)</f>
        <v>0</v>
      </c>
      <c r="AC142" s="1">
        <v>5740000</v>
      </c>
    </row>
    <row r="143" spans="1:29">
      <c r="A143">
        <v>6660</v>
      </c>
      <c r="B143" t="s">
        <v>16</v>
      </c>
      <c r="C143">
        <v>4</v>
      </c>
      <c r="D143">
        <v>2</v>
      </c>
      <c r="E143">
        <v>2</v>
      </c>
      <c r="F143" t="s">
        <v>13</v>
      </c>
      <c r="G143" t="s">
        <v>13</v>
      </c>
      <c r="H143" t="s">
        <v>13</v>
      </c>
      <c r="I143" t="s">
        <v>14</v>
      </c>
      <c r="J143" t="s">
        <v>14</v>
      </c>
      <c r="K143">
        <v>1</v>
      </c>
      <c r="L143" t="s">
        <v>13</v>
      </c>
      <c r="M143" s="1">
        <v>5652500</v>
      </c>
      <c r="P143">
        <v>6660</v>
      </c>
      <c r="Q143">
        <f>IF(Table1[[#This Row],[furnishingstatus]]="furnished", 1, 0)</f>
        <v>0</v>
      </c>
      <c r="R143">
        <f>IF(Table1[[#This Row],[furnishingstatus]]="semi-furnished", 1, 0)</f>
        <v>1</v>
      </c>
      <c r="S143">
        <v>4</v>
      </c>
      <c r="T143">
        <v>2</v>
      </c>
      <c r="U143">
        <v>2</v>
      </c>
      <c r="V143">
        <f>IF(Table1[[#This Row],[mainroad]] = "yes", 1, 0)</f>
        <v>1</v>
      </c>
      <c r="W143">
        <f>IF(Table1[[#This Row],[guestroom]]= "yes", 1, 0)</f>
        <v>1</v>
      </c>
      <c r="X143">
        <f>IF(Table1[[#This Row],[basement]]="yes", 1, 0)</f>
        <v>1</v>
      </c>
      <c r="Y143">
        <f>IF(Table1[[#This Row],[hotwaterheating]]="yes", 1, 0)</f>
        <v>0</v>
      </c>
      <c r="Z143">
        <f>IF(Table1[[#This Row],[airconditioning]]="yes", 1, 0)</f>
        <v>0</v>
      </c>
      <c r="AA143">
        <v>1</v>
      </c>
      <c r="AB143">
        <f>IF(Table1[[#This Row],[prefarea]]= "yes", 1, 0)</f>
        <v>1</v>
      </c>
      <c r="AC143" s="1">
        <v>5652500</v>
      </c>
    </row>
    <row r="144" spans="1:29">
      <c r="A144">
        <v>10500</v>
      </c>
      <c r="B144" t="s">
        <v>16</v>
      </c>
      <c r="C144">
        <v>4</v>
      </c>
      <c r="D144">
        <v>2</v>
      </c>
      <c r="E144">
        <v>2</v>
      </c>
      <c r="F144" t="s">
        <v>13</v>
      </c>
      <c r="G144" t="s">
        <v>14</v>
      </c>
      <c r="H144" t="s">
        <v>14</v>
      </c>
      <c r="I144" t="s">
        <v>14</v>
      </c>
      <c r="J144" t="s">
        <v>14</v>
      </c>
      <c r="K144">
        <v>1</v>
      </c>
      <c r="L144" t="s">
        <v>14</v>
      </c>
      <c r="M144" s="1">
        <v>5600000</v>
      </c>
      <c r="P144">
        <v>10500</v>
      </c>
      <c r="Q144">
        <f>IF(Table1[[#This Row],[furnishingstatus]]="furnished", 1, 0)</f>
        <v>0</v>
      </c>
      <c r="R144">
        <f>IF(Table1[[#This Row],[furnishingstatus]]="semi-furnished", 1, 0)</f>
        <v>1</v>
      </c>
      <c r="S144">
        <v>4</v>
      </c>
      <c r="T144">
        <v>2</v>
      </c>
      <c r="U144">
        <v>2</v>
      </c>
      <c r="V144">
        <f>IF(Table1[[#This Row],[mainroad]] = "yes", 1, 0)</f>
        <v>1</v>
      </c>
      <c r="W144">
        <f>IF(Table1[[#This Row],[guestroom]]= "yes", 1, 0)</f>
        <v>0</v>
      </c>
      <c r="X144">
        <f>IF(Table1[[#This Row],[basement]]="yes", 1, 0)</f>
        <v>0</v>
      </c>
      <c r="Y144">
        <f>IF(Table1[[#This Row],[hotwaterheating]]="yes", 1, 0)</f>
        <v>0</v>
      </c>
      <c r="Z144">
        <f>IF(Table1[[#This Row],[airconditioning]]="yes", 1, 0)</f>
        <v>0</v>
      </c>
      <c r="AA144">
        <v>1</v>
      </c>
      <c r="AB144">
        <f>IF(Table1[[#This Row],[prefarea]]= "yes", 1, 0)</f>
        <v>0</v>
      </c>
      <c r="AC144" s="1">
        <v>5600000</v>
      </c>
    </row>
    <row r="145" spans="1:29">
      <c r="A145">
        <v>4800</v>
      </c>
      <c r="B145" t="s">
        <v>17</v>
      </c>
      <c r="C145">
        <v>5</v>
      </c>
      <c r="D145">
        <v>2</v>
      </c>
      <c r="E145">
        <v>3</v>
      </c>
      <c r="F145" t="s">
        <v>14</v>
      </c>
      <c r="G145" t="s">
        <v>14</v>
      </c>
      <c r="H145" t="s">
        <v>13</v>
      </c>
      <c r="I145" t="s">
        <v>13</v>
      </c>
      <c r="J145" t="s">
        <v>14</v>
      </c>
      <c r="K145">
        <v>0</v>
      </c>
      <c r="L145" t="s">
        <v>14</v>
      </c>
      <c r="M145" s="1">
        <v>5600000</v>
      </c>
      <c r="P145">
        <v>4800</v>
      </c>
      <c r="Q145">
        <f>IF(Table1[[#This Row],[furnishingstatus]]="furnished", 1, 0)</f>
        <v>0</v>
      </c>
      <c r="R145">
        <f>IF(Table1[[#This Row],[furnishingstatus]]="semi-furnished", 1, 0)</f>
        <v>0</v>
      </c>
      <c r="S145">
        <v>5</v>
      </c>
      <c r="T145">
        <v>2</v>
      </c>
      <c r="U145">
        <v>3</v>
      </c>
      <c r="V145">
        <f>IF(Table1[[#This Row],[mainroad]] = "yes", 1, 0)</f>
        <v>0</v>
      </c>
      <c r="W145">
        <f>IF(Table1[[#This Row],[guestroom]]= "yes", 1, 0)</f>
        <v>0</v>
      </c>
      <c r="X145">
        <f>IF(Table1[[#This Row],[basement]]="yes", 1, 0)</f>
        <v>1</v>
      </c>
      <c r="Y145">
        <f>IF(Table1[[#This Row],[hotwaterheating]]="yes", 1, 0)</f>
        <v>1</v>
      </c>
      <c r="Z145">
        <f>IF(Table1[[#This Row],[airconditioning]]="yes", 1, 0)</f>
        <v>0</v>
      </c>
      <c r="AA145">
        <v>0</v>
      </c>
      <c r="AB145">
        <f>IF(Table1[[#This Row],[prefarea]]= "yes", 1, 0)</f>
        <v>0</v>
      </c>
      <c r="AC145" s="1">
        <v>5600000</v>
      </c>
    </row>
    <row r="146" spans="1:29">
      <c r="A146">
        <v>4700</v>
      </c>
      <c r="B146" t="s">
        <v>15</v>
      </c>
      <c r="C146">
        <v>4</v>
      </c>
      <c r="D146">
        <v>1</v>
      </c>
      <c r="E146">
        <v>2</v>
      </c>
      <c r="F146" t="s">
        <v>13</v>
      </c>
      <c r="G146" t="s">
        <v>13</v>
      </c>
      <c r="H146" t="s">
        <v>13</v>
      </c>
      <c r="I146" t="s">
        <v>14</v>
      </c>
      <c r="J146" t="s">
        <v>13</v>
      </c>
      <c r="K146">
        <v>1</v>
      </c>
      <c r="L146" t="s">
        <v>14</v>
      </c>
      <c r="M146" s="1">
        <v>5600000</v>
      </c>
      <c r="P146">
        <v>4700</v>
      </c>
      <c r="Q146">
        <f>IF(Table1[[#This Row],[furnishingstatus]]="furnished", 1, 0)</f>
        <v>1</v>
      </c>
      <c r="R146">
        <f>IF(Table1[[#This Row],[furnishingstatus]]="semi-furnished", 1, 0)</f>
        <v>0</v>
      </c>
      <c r="S146">
        <v>4</v>
      </c>
      <c r="T146">
        <v>1</v>
      </c>
      <c r="U146">
        <v>2</v>
      </c>
      <c r="V146">
        <f>IF(Table1[[#This Row],[mainroad]] = "yes", 1, 0)</f>
        <v>1</v>
      </c>
      <c r="W146">
        <f>IF(Table1[[#This Row],[guestroom]]= "yes", 1, 0)</f>
        <v>1</v>
      </c>
      <c r="X146">
        <f>IF(Table1[[#This Row],[basement]]="yes", 1, 0)</f>
        <v>1</v>
      </c>
      <c r="Y146">
        <f>IF(Table1[[#This Row],[hotwaterheating]]="yes", 1, 0)</f>
        <v>0</v>
      </c>
      <c r="Z146">
        <f>IF(Table1[[#This Row],[airconditioning]]="yes", 1, 0)</f>
        <v>1</v>
      </c>
      <c r="AA146">
        <v>1</v>
      </c>
      <c r="AB146">
        <f>IF(Table1[[#This Row],[prefarea]]= "yes", 1, 0)</f>
        <v>0</v>
      </c>
      <c r="AC146" s="1">
        <v>5600000</v>
      </c>
    </row>
    <row r="147" spans="1:29">
      <c r="A147">
        <v>5000</v>
      </c>
      <c r="B147" t="s">
        <v>15</v>
      </c>
      <c r="C147">
        <v>3</v>
      </c>
      <c r="D147">
        <v>1</v>
      </c>
      <c r="E147">
        <v>4</v>
      </c>
      <c r="F147" t="s">
        <v>13</v>
      </c>
      <c r="G147" t="s">
        <v>14</v>
      </c>
      <c r="H147" t="s">
        <v>14</v>
      </c>
      <c r="I147" t="s">
        <v>14</v>
      </c>
      <c r="J147" t="s">
        <v>14</v>
      </c>
      <c r="K147">
        <v>0</v>
      </c>
      <c r="L147" t="s">
        <v>14</v>
      </c>
      <c r="M147" s="1">
        <v>5600000</v>
      </c>
      <c r="P147">
        <v>5000</v>
      </c>
      <c r="Q147">
        <f>IF(Table1[[#This Row],[furnishingstatus]]="furnished", 1, 0)</f>
        <v>1</v>
      </c>
      <c r="R147">
        <f>IF(Table1[[#This Row],[furnishingstatus]]="semi-furnished", 1, 0)</f>
        <v>0</v>
      </c>
      <c r="S147">
        <v>3</v>
      </c>
      <c r="T147">
        <v>1</v>
      </c>
      <c r="U147">
        <v>4</v>
      </c>
      <c r="V147">
        <f>IF(Table1[[#This Row],[mainroad]] = "yes", 1, 0)</f>
        <v>1</v>
      </c>
      <c r="W147">
        <f>IF(Table1[[#This Row],[guestroom]]= "yes", 1, 0)</f>
        <v>0</v>
      </c>
      <c r="X147">
        <f>IF(Table1[[#This Row],[basement]]="yes", 1, 0)</f>
        <v>0</v>
      </c>
      <c r="Y147">
        <f>IF(Table1[[#This Row],[hotwaterheating]]="yes", 1, 0)</f>
        <v>0</v>
      </c>
      <c r="Z147">
        <f>IF(Table1[[#This Row],[airconditioning]]="yes", 1, 0)</f>
        <v>0</v>
      </c>
      <c r="AA147">
        <v>0</v>
      </c>
      <c r="AB147">
        <f>IF(Table1[[#This Row],[prefarea]]= "yes", 1, 0)</f>
        <v>0</v>
      </c>
      <c r="AC147" s="1">
        <v>5600000</v>
      </c>
    </row>
    <row r="148" spans="1:29">
      <c r="A148">
        <v>10500</v>
      </c>
      <c r="B148" t="s">
        <v>16</v>
      </c>
      <c r="C148">
        <v>2</v>
      </c>
      <c r="D148">
        <v>1</v>
      </c>
      <c r="E148">
        <v>1</v>
      </c>
      <c r="F148" t="s">
        <v>13</v>
      </c>
      <c r="G148" t="s">
        <v>14</v>
      </c>
      <c r="H148" t="s">
        <v>14</v>
      </c>
      <c r="I148" t="s">
        <v>14</v>
      </c>
      <c r="J148" t="s">
        <v>14</v>
      </c>
      <c r="K148">
        <v>1</v>
      </c>
      <c r="L148" t="s">
        <v>14</v>
      </c>
      <c r="M148" s="1">
        <v>5600000</v>
      </c>
      <c r="P148">
        <v>10500</v>
      </c>
      <c r="Q148">
        <f>IF(Table1[[#This Row],[furnishingstatus]]="furnished", 1, 0)</f>
        <v>0</v>
      </c>
      <c r="R148">
        <f>IF(Table1[[#This Row],[furnishingstatus]]="semi-furnished", 1, 0)</f>
        <v>1</v>
      </c>
      <c r="S148">
        <v>2</v>
      </c>
      <c r="T148">
        <v>1</v>
      </c>
      <c r="U148">
        <v>1</v>
      </c>
      <c r="V148">
        <f>IF(Table1[[#This Row],[mainroad]] = "yes", 1, 0)</f>
        <v>1</v>
      </c>
      <c r="W148">
        <f>IF(Table1[[#This Row],[guestroom]]= "yes", 1, 0)</f>
        <v>0</v>
      </c>
      <c r="X148">
        <f>IF(Table1[[#This Row],[basement]]="yes", 1, 0)</f>
        <v>0</v>
      </c>
      <c r="Y148">
        <f>IF(Table1[[#This Row],[hotwaterheating]]="yes", 1, 0)</f>
        <v>0</v>
      </c>
      <c r="Z148">
        <f>IF(Table1[[#This Row],[airconditioning]]="yes", 1, 0)</f>
        <v>0</v>
      </c>
      <c r="AA148">
        <v>1</v>
      </c>
      <c r="AB148">
        <f>IF(Table1[[#This Row],[prefarea]]= "yes", 1, 0)</f>
        <v>0</v>
      </c>
      <c r="AC148" s="1">
        <v>5600000</v>
      </c>
    </row>
    <row r="149" spans="1:29">
      <c r="A149">
        <v>5500</v>
      </c>
      <c r="B149" t="s">
        <v>16</v>
      </c>
      <c r="C149">
        <v>3</v>
      </c>
      <c r="D149">
        <v>2</v>
      </c>
      <c r="E149">
        <v>2</v>
      </c>
      <c r="F149" t="s">
        <v>13</v>
      </c>
      <c r="G149" t="s">
        <v>14</v>
      </c>
      <c r="H149" t="s">
        <v>14</v>
      </c>
      <c r="I149" t="s">
        <v>14</v>
      </c>
      <c r="J149" t="s">
        <v>14</v>
      </c>
      <c r="K149">
        <v>1</v>
      </c>
      <c r="L149" t="s">
        <v>14</v>
      </c>
      <c r="M149" s="1">
        <v>5600000</v>
      </c>
      <c r="P149">
        <v>5500</v>
      </c>
      <c r="Q149">
        <f>IF(Table1[[#This Row],[furnishingstatus]]="furnished", 1, 0)</f>
        <v>0</v>
      </c>
      <c r="R149">
        <f>IF(Table1[[#This Row],[furnishingstatus]]="semi-furnished", 1, 0)</f>
        <v>1</v>
      </c>
      <c r="S149">
        <v>3</v>
      </c>
      <c r="T149">
        <v>2</v>
      </c>
      <c r="U149">
        <v>2</v>
      </c>
      <c r="V149">
        <f>IF(Table1[[#This Row],[mainroad]] = "yes", 1, 0)</f>
        <v>1</v>
      </c>
      <c r="W149">
        <f>IF(Table1[[#This Row],[guestroom]]= "yes", 1, 0)</f>
        <v>0</v>
      </c>
      <c r="X149">
        <f>IF(Table1[[#This Row],[basement]]="yes", 1, 0)</f>
        <v>0</v>
      </c>
      <c r="Y149">
        <f>IF(Table1[[#This Row],[hotwaterheating]]="yes", 1, 0)</f>
        <v>0</v>
      </c>
      <c r="Z149">
        <f>IF(Table1[[#This Row],[airconditioning]]="yes", 1, 0)</f>
        <v>0</v>
      </c>
      <c r="AA149">
        <v>1</v>
      </c>
      <c r="AB149">
        <f>IF(Table1[[#This Row],[prefarea]]= "yes", 1, 0)</f>
        <v>0</v>
      </c>
      <c r="AC149" s="1">
        <v>5600000</v>
      </c>
    </row>
    <row r="150" spans="1:29">
      <c r="A150">
        <v>6360</v>
      </c>
      <c r="B150" t="s">
        <v>16</v>
      </c>
      <c r="C150">
        <v>3</v>
      </c>
      <c r="D150">
        <v>1</v>
      </c>
      <c r="E150">
        <v>3</v>
      </c>
      <c r="F150" t="s">
        <v>13</v>
      </c>
      <c r="G150" t="s">
        <v>14</v>
      </c>
      <c r="H150" t="s">
        <v>14</v>
      </c>
      <c r="I150" t="s">
        <v>14</v>
      </c>
      <c r="J150" t="s">
        <v>14</v>
      </c>
      <c r="K150">
        <v>0</v>
      </c>
      <c r="L150" t="s">
        <v>13</v>
      </c>
      <c r="M150" s="1">
        <v>5600000</v>
      </c>
      <c r="P150">
        <v>6360</v>
      </c>
      <c r="Q150">
        <f>IF(Table1[[#This Row],[furnishingstatus]]="furnished", 1, 0)</f>
        <v>0</v>
      </c>
      <c r="R150">
        <f>IF(Table1[[#This Row],[furnishingstatus]]="semi-furnished", 1, 0)</f>
        <v>1</v>
      </c>
      <c r="S150">
        <v>3</v>
      </c>
      <c r="T150">
        <v>1</v>
      </c>
      <c r="U150">
        <v>3</v>
      </c>
      <c r="V150">
        <f>IF(Table1[[#This Row],[mainroad]] = "yes", 1, 0)</f>
        <v>1</v>
      </c>
      <c r="W150">
        <f>IF(Table1[[#This Row],[guestroom]]= "yes", 1, 0)</f>
        <v>0</v>
      </c>
      <c r="X150">
        <f>IF(Table1[[#This Row],[basement]]="yes", 1, 0)</f>
        <v>0</v>
      </c>
      <c r="Y150">
        <f>IF(Table1[[#This Row],[hotwaterheating]]="yes", 1, 0)</f>
        <v>0</v>
      </c>
      <c r="Z150">
        <f>IF(Table1[[#This Row],[airconditioning]]="yes", 1, 0)</f>
        <v>0</v>
      </c>
      <c r="AA150">
        <v>0</v>
      </c>
      <c r="AB150">
        <f>IF(Table1[[#This Row],[prefarea]]= "yes", 1, 0)</f>
        <v>1</v>
      </c>
      <c r="AC150" s="1">
        <v>5600000</v>
      </c>
    </row>
    <row r="151" spans="1:29">
      <c r="A151">
        <v>6600</v>
      </c>
      <c r="B151" t="s">
        <v>16</v>
      </c>
      <c r="C151">
        <v>4</v>
      </c>
      <c r="D151">
        <v>2</v>
      </c>
      <c r="E151">
        <v>1</v>
      </c>
      <c r="F151" t="s">
        <v>13</v>
      </c>
      <c r="G151" t="s">
        <v>14</v>
      </c>
      <c r="H151" t="s">
        <v>13</v>
      </c>
      <c r="I151" t="s">
        <v>14</v>
      </c>
      <c r="J151" t="s">
        <v>14</v>
      </c>
      <c r="K151">
        <v>0</v>
      </c>
      <c r="L151" t="s">
        <v>13</v>
      </c>
      <c r="M151" s="1">
        <v>5600000</v>
      </c>
      <c r="P151">
        <v>6600</v>
      </c>
      <c r="Q151">
        <f>IF(Table1[[#This Row],[furnishingstatus]]="furnished", 1, 0)</f>
        <v>0</v>
      </c>
      <c r="R151">
        <f>IF(Table1[[#This Row],[furnishingstatus]]="semi-furnished", 1, 0)</f>
        <v>1</v>
      </c>
      <c r="S151">
        <v>4</v>
      </c>
      <c r="T151">
        <v>2</v>
      </c>
      <c r="U151">
        <v>1</v>
      </c>
      <c r="V151">
        <f>IF(Table1[[#This Row],[mainroad]] = "yes", 1, 0)</f>
        <v>1</v>
      </c>
      <c r="W151">
        <f>IF(Table1[[#This Row],[guestroom]]= "yes", 1, 0)</f>
        <v>0</v>
      </c>
      <c r="X151">
        <f>IF(Table1[[#This Row],[basement]]="yes", 1, 0)</f>
        <v>1</v>
      </c>
      <c r="Y151">
        <f>IF(Table1[[#This Row],[hotwaterheating]]="yes", 1, 0)</f>
        <v>0</v>
      </c>
      <c r="Z151">
        <f>IF(Table1[[#This Row],[airconditioning]]="yes", 1, 0)</f>
        <v>0</v>
      </c>
      <c r="AA151">
        <v>0</v>
      </c>
      <c r="AB151">
        <f>IF(Table1[[#This Row],[prefarea]]= "yes", 1, 0)</f>
        <v>1</v>
      </c>
      <c r="AC151" s="1">
        <v>5600000</v>
      </c>
    </row>
    <row r="152" spans="1:29">
      <c r="A152">
        <v>5136</v>
      </c>
      <c r="B152" t="s">
        <v>17</v>
      </c>
      <c r="C152">
        <v>3</v>
      </c>
      <c r="D152">
        <v>1</v>
      </c>
      <c r="E152">
        <v>2</v>
      </c>
      <c r="F152" t="s">
        <v>13</v>
      </c>
      <c r="G152" t="s">
        <v>13</v>
      </c>
      <c r="H152" t="s">
        <v>13</v>
      </c>
      <c r="I152" t="s">
        <v>14</v>
      </c>
      <c r="J152" t="s">
        <v>13</v>
      </c>
      <c r="K152">
        <v>0</v>
      </c>
      <c r="L152" t="s">
        <v>13</v>
      </c>
      <c r="M152" s="1">
        <v>5600000</v>
      </c>
      <c r="P152">
        <v>5136</v>
      </c>
      <c r="Q152">
        <f>IF(Table1[[#This Row],[furnishingstatus]]="furnished", 1, 0)</f>
        <v>0</v>
      </c>
      <c r="R152">
        <f>IF(Table1[[#This Row],[furnishingstatus]]="semi-furnished", 1, 0)</f>
        <v>0</v>
      </c>
      <c r="S152">
        <v>3</v>
      </c>
      <c r="T152">
        <v>1</v>
      </c>
      <c r="U152">
        <v>2</v>
      </c>
      <c r="V152">
        <f>IF(Table1[[#This Row],[mainroad]] = "yes", 1, 0)</f>
        <v>1</v>
      </c>
      <c r="W152">
        <f>IF(Table1[[#This Row],[guestroom]]= "yes", 1, 0)</f>
        <v>1</v>
      </c>
      <c r="X152">
        <f>IF(Table1[[#This Row],[basement]]="yes", 1, 0)</f>
        <v>1</v>
      </c>
      <c r="Y152">
        <f>IF(Table1[[#This Row],[hotwaterheating]]="yes", 1, 0)</f>
        <v>0</v>
      </c>
      <c r="Z152">
        <f>IF(Table1[[#This Row],[airconditioning]]="yes", 1, 0)</f>
        <v>1</v>
      </c>
      <c r="AA152">
        <v>0</v>
      </c>
      <c r="AB152">
        <f>IF(Table1[[#This Row],[prefarea]]= "yes", 1, 0)</f>
        <v>1</v>
      </c>
      <c r="AC152" s="1">
        <v>5600000</v>
      </c>
    </row>
    <row r="153" spans="1:29">
      <c r="A153">
        <v>4400</v>
      </c>
      <c r="B153" t="s">
        <v>16</v>
      </c>
      <c r="C153">
        <v>4</v>
      </c>
      <c r="D153">
        <v>1</v>
      </c>
      <c r="E153">
        <v>2</v>
      </c>
      <c r="F153" t="s">
        <v>13</v>
      </c>
      <c r="G153" t="s">
        <v>14</v>
      </c>
      <c r="H153" t="s">
        <v>14</v>
      </c>
      <c r="I153" t="s">
        <v>14</v>
      </c>
      <c r="J153" t="s">
        <v>13</v>
      </c>
      <c r="K153">
        <v>2</v>
      </c>
      <c r="L153" t="s">
        <v>13</v>
      </c>
      <c r="M153" s="1">
        <v>5565000</v>
      </c>
      <c r="P153">
        <v>4400</v>
      </c>
      <c r="Q153">
        <f>IF(Table1[[#This Row],[furnishingstatus]]="furnished", 1, 0)</f>
        <v>0</v>
      </c>
      <c r="R153">
        <f>IF(Table1[[#This Row],[furnishingstatus]]="semi-furnished", 1, 0)</f>
        <v>1</v>
      </c>
      <c r="S153">
        <v>4</v>
      </c>
      <c r="T153">
        <v>1</v>
      </c>
      <c r="U153">
        <v>2</v>
      </c>
      <c r="V153">
        <f>IF(Table1[[#This Row],[mainroad]] = "yes", 1, 0)</f>
        <v>1</v>
      </c>
      <c r="W153">
        <f>IF(Table1[[#This Row],[guestroom]]= "yes", 1, 0)</f>
        <v>0</v>
      </c>
      <c r="X153">
        <f>IF(Table1[[#This Row],[basement]]="yes", 1, 0)</f>
        <v>0</v>
      </c>
      <c r="Y153">
        <f>IF(Table1[[#This Row],[hotwaterheating]]="yes", 1, 0)</f>
        <v>0</v>
      </c>
      <c r="Z153">
        <f>IF(Table1[[#This Row],[airconditioning]]="yes", 1, 0)</f>
        <v>1</v>
      </c>
      <c r="AA153">
        <v>2</v>
      </c>
      <c r="AB153">
        <f>IF(Table1[[#This Row],[prefarea]]= "yes", 1, 0)</f>
        <v>1</v>
      </c>
      <c r="AC153" s="1">
        <v>5565000</v>
      </c>
    </row>
    <row r="154" spans="1:29">
      <c r="A154">
        <v>5400</v>
      </c>
      <c r="B154" t="s">
        <v>15</v>
      </c>
      <c r="C154">
        <v>5</v>
      </c>
      <c r="D154">
        <v>1</v>
      </c>
      <c r="E154">
        <v>2</v>
      </c>
      <c r="F154" t="s">
        <v>13</v>
      </c>
      <c r="G154" t="s">
        <v>13</v>
      </c>
      <c r="H154" t="s">
        <v>13</v>
      </c>
      <c r="I154" t="s">
        <v>14</v>
      </c>
      <c r="J154" t="s">
        <v>13</v>
      </c>
      <c r="K154">
        <v>0</v>
      </c>
      <c r="L154" t="s">
        <v>13</v>
      </c>
      <c r="M154" s="1">
        <v>5565000</v>
      </c>
      <c r="P154">
        <v>5400</v>
      </c>
      <c r="Q154">
        <f>IF(Table1[[#This Row],[furnishingstatus]]="furnished", 1, 0)</f>
        <v>1</v>
      </c>
      <c r="R154">
        <f>IF(Table1[[#This Row],[furnishingstatus]]="semi-furnished", 1, 0)</f>
        <v>0</v>
      </c>
      <c r="S154">
        <v>5</v>
      </c>
      <c r="T154">
        <v>1</v>
      </c>
      <c r="U154">
        <v>2</v>
      </c>
      <c r="V154">
        <f>IF(Table1[[#This Row],[mainroad]] = "yes", 1, 0)</f>
        <v>1</v>
      </c>
      <c r="W154">
        <f>IF(Table1[[#This Row],[guestroom]]= "yes", 1, 0)</f>
        <v>1</v>
      </c>
      <c r="X154">
        <f>IF(Table1[[#This Row],[basement]]="yes", 1, 0)</f>
        <v>1</v>
      </c>
      <c r="Y154">
        <f>IF(Table1[[#This Row],[hotwaterheating]]="yes", 1, 0)</f>
        <v>0</v>
      </c>
      <c r="Z154">
        <f>IF(Table1[[#This Row],[airconditioning]]="yes", 1, 0)</f>
        <v>1</v>
      </c>
      <c r="AA154">
        <v>0</v>
      </c>
      <c r="AB154">
        <f>IF(Table1[[#This Row],[prefarea]]= "yes", 1, 0)</f>
        <v>1</v>
      </c>
      <c r="AC154" s="1">
        <v>5565000</v>
      </c>
    </row>
    <row r="155" spans="1:29">
      <c r="A155">
        <v>3300</v>
      </c>
      <c r="B155" t="s">
        <v>16</v>
      </c>
      <c r="C155">
        <v>3</v>
      </c>
      <c r="D155">
        <v>3</v>
      </c>
      <c r="E155">
        <v>2</v>
      </c>
      <c r="F155" t="s">
        <v>13</v>
      </c>
      <c r="G155" t="s">
        <v>14</v>
      </c>
      <c r="H155" t="s">
        <v>13</v>
      </c>
      <c r="I155" t="s">
        <v>14</v>
      </c>
      <c r="J155" t="s">
        <v>14</v>
      </c>
      <c r="K155">
        <v>0</v>
      </c>
      <c r="L155" t="s">
        <v>14</v>
      </c>
      <c r="M155" s="1">
        <v>5530000</v>
      </c>
      <c r="P155">
        <v>3300</v>
      </c>
      <c r="Q155">
        <f>IF(Table1[[#This Row],[furnishingstatus]]="furnished", 1, 0)</f>
        <v>0</v>
      </c>
      <c r="R155">
        <f>IF(Table1[[#This Row],[furnishingstatus]]="semi-furnished", 1, 0)</f>
        <v>1</v>
      </c>
      <c r="S155">
        <v>3</v>
      </c>
      <c r="T155">
        <v>3</v>
      </c>
      <c r="U155">
        <v>2</v>
      </c>
      <c r="V155">
        <f>IF(Table1[[#This Row],[mainroad]] = "yes", 1, 0)</f>
        <v>1</v>
      </c>
      <c r="W155">
        <f>IF(Table1[[#This Row],[guestroom]]= "yes", 1, 0)</f>
        <v>0</v>
      </c>
      <c r="X155">
        <f>IF(Table1[[#This Row],[basement]]="yes", 1, 0)</f>
        <v>1</v>
      </c>
      <c r="Y155">
        <f>IF(Table1[[#This Row],[hotwaterheating]]="yes", 1, 0)</f>
        <v>0</v>
      </c>
      <c r="Z155">
        <f>IF(Table1[[#This Row],[airconditioning]]="yes", 1, 0)</f>
        <v>0</v>
      </c>
      <c r="AA155">
        <v>0</v>
      </c>
      <c r="AB155">
        <f>IF(Table1[[#This Row],[prefarea]]= "yes", 1, 0)</f>
        <v>0</v>
      </c>
      <c r="AC155" s="1">
        <v>5530000</v>
      </c>
    </row>
    <row r="156" spans="1:29">
      <c r="A156">
        <v>3650</v>
      </c>
      <c r="B156" t="s">
        <v>16</v>
      </c>
      <c r="C156">
        <v>3</v>
      </c>
      <c r="D156">
        <v>2</v>
      </c>
      <c r="E156">
        <v>2</v>
      </c>
      <c r="F156" t="s">
        <v>13</v>
      </c>
      <c r="G156" t="s">
        <v>14</v>
      </c>
      <c r="H156" t="s">
        <v>14</v>
      </c>
      <c r="I156" t="s">
        <v>14</v>
      </c>
      <c r="J156" t="s">
        <v>14</v>
      </c>
      <c r="K156">
        <v>2</v>
      </c>
      <c r="L156" t="s">
        <v>14</v>
      </c>
      <c r="M156" s="1">
        <v>5530000</v>
      </c>
      <c r="P156">
        <v>3650</v>
      </c>
      <c r="Q156">
        <f>IF(Table1[[#This Row],[furnishingstatus]]="furnished", 1, 0)</f>
        <v>0</v>
      </c>
      <c r="R156">
        <f>IF(Table1[[#This Row],[furnishingstatus]]="semi-furnished", 1, 0)</f>
        <v>1</v>
      </c>
      <c r="S156">
        <v>3</v>
      </c>
      <c r="T156">
        <v>2</v>
      </c>
      <c r="U156">
        <v>2</v>
      </c>
      <c r="V156">
        <f>IF(Table1[[#This Row],[mainroad]] = "yes", 1, 0)</f>
        <v>1</v>
      </c>
      <c r="W156">
        <f>IF(Table1[[#This Row],[guestroom]]= "yes", 1, 0)</f>
        <v>0</v>
      </c>
      <c r="X156">
        <f>IF(Table1[[#This Row],[basement]]="yes", 1, 0)</f>
        <v>0</v>
      </c>
      <c r="Y156">
        <f>IF(Table1[[#This Row],[hotwaterheating]]="yes", 1, 0)</f>
        <v>0</v>
      </c>
      <c r="Z156">
        <f>IF(Table1[[#This Row],[airconditioning]]="yes", 1, 0)</f>
        <v>0</v>
      </c>
      <c r="AA156">
        <v>2</v>
      </c>
      <c r="AB156">
        <f>IF(Table1[[#This Row],[prefarea]]= "yes", 1, 0)</f>
        <v>0</v>
      </c>
      <c r="AC156" s="1">
        <v>5530000</v>
      </c>
    </row>
    <row r="157" spans="1:29">
      <c r="A157">
        <v>6100</v>
      </c>
      <c r="B157" t="s">
        <v>15</v>
      </c>
      <c r="C157">
        <v>3</v>
      </c>
      <c r="D157">
        <v>2</v>
      </c>
      <c r="E157">
        <v>1</v>
      </c>
      <c r="F157" t="s">
        <v>13</v>
      </c>
      <c r="G157" t="s">
        <v>14</v>
      </c>
      <c r="H157" t="s">
        <v>13</v>
      </c>
      <c r="I157" t="s">
        <v>14</v>
      </c>
      <c r="J157" t="s">
        <v>14</v>
      </c>
      <c r="K157">
        <v>2</v>
      </c>
      <c r="L157" t="s">
        <v>13</v>
      </c>
      <c r="M157" s="1">
        <v>5530000</v>
      </c>
      <c r="P157">
        <v>6100</v>
      </c>
      <c r="Q157">
        <f>IF(Table1[[#This Row],[furnishingstatus]]="furnished", 1, 0)</f>
        <v>1</v>
      </c>
      <c r="R157">
        <f>IF(Table1[[#This Row],[furnishingstatus]]="semi-furnished", 1, 0)</f>
        <v>0</v>
      </c>
      <c r="S157">
        <v>3</v>
      </c>
      <c r="T157">
        <v>2</v>
      </c>
      <c r="U157">
        <v>1</v>
      </c>
      <c r="V157">
        <f>IF(Table1[[#This Row],[mainroad]] = "yes", 1, 0)</f>
        <v>1</v>
      </c>
      <c r="W157">
        <f>IF(Table1[[#This Row],[guestroom]]= "yes", 1, 0)</f>
        <v>0</v>
      </c>
      <c r="X157">
        <f>IF(Table1[[#This Row],[basement]]="yes", 1, 0)</f>
        <v>1</v>
      </c>
      <c r="Y157">
        <f>IF(Table1[[#This Row],[hotwaterheating]]="yes", 1, 0)</f>
        <v>0</v>
      </c>
      <c r="Z157">
        <f>IF(Table1[[#This Row],[airconditioning]]="yes", 1, 0)</f>
        <v>0</v>
      </c>
      <c r="AA157">
        <v>2</v>
      </c>
      <c r="AB157">
        <f>IF(Table1[[#This Row],[prefarea]]= "yes", 1, 0)</f>
        <v>1</v>
      </c>
      <c r="AC157" s="1">
        <v>5530000</v>
      </c>
    </row>
    <row r="158" spans="1:29">
      <c r="A158">
        <v>6900</v>
      </c>
      <c r="B158" t="s">
        <v>16</v>
      </c>
      <c r="C158">
        <v>3</v>
      </c>
      <c r="D158">
        <v>1</v>
      </c>
      <c r="E158">
        <v>1</v>
      </c>
      <c r="F158" t="s">
        <v>13</v>
      </c>
      <c r="G158" t="s">
        <v>13</v>
      </c>
      <c r="H158" t="s">
        <v>13</v>
      </c>
      <c r="I158" t="s">
        <v>14</v>
      </c>
      <c r="J158" t="s">
        <v>14</v>
      </c>
      <c r="K158">
        <v>0</v>
      </c>
      <c r="L158" t="s">
        <v>13</v>
      </c>
      <c r="M158" s="1">
        <v>5523000</v>
      </c>
      <c r="P158">
        <v>6900</v>
      </c>
      <c r="Q158">
        <f>IF(Table1[[#This Row],[furnishingstatus]]="furnished", 1, 0)</f>
        <v>0</v>
      </c>
      <c r="R158">
        <f>IF(Table1[[#This Row],[furnishingstatus]]="semi-furnished", 1, 0)</f>
        <v>1</v>
      </c>
      <c r="S158">
        <v>3</v>
      </c>
      <c r="T158">
        <v>1</v>
      </c>
      <c r="U158">
        <v>1</v>
      </c>
      <c r="V158">
        <f>IF(Table1[[#This Row],[mainroad]] = "yes", 1, 0)</f>
        <v>1</v>
      </c>
      <c r="W158">
        <f>IF(Table1[[#This Row],[guestroom]]= "yes", 1, 0)</f>
        <v>1</v>
      </c>
      <c r="X158">
        <f>IF(Table1[[#This Row],[basement]]="yes", 1, 0)</f>
        <v>1</v>
      </c>
      <c r="Y158">
        <f>IF(Table1[[#This Row],[hotwaterheating]]="yes", 1, 0)</f>
        <v>0</v>
      </c>
      <c r="Z158">
        <f>IF(Table1[[#This Row],[airconditioning]]="yes", 1, 0)</f>
        <v>0</v>
      </c>
      <c r="AA158">
        <v>0</v>
      </c>
      <c r="AB158">
        <f>IF(Table1[[#This Row],[prefarea]]= "yes", 1, 0)</f>
        <v>1</v>
      </c>
      <c r="AC158" s="1">
        <v>5523000</v>
      </c>
    </row>
    <row r="159" spans="1:29">
      <c r="A159">
        <v>2817</v>
      </c>
      <c r="B159" t="s">
        <v>15</v>
      </c>
      <c r="C159">
        <v>4</v>
      </c>
      <c r="D159">
        <v>2</v>
      </c>
      <c r="E159">
        <v>2</v>
      </c>
      <c r="F159" t="s">
        <v>14</v>
      </c>
      <c r="G159" t="s">
        <v>13</v>
      </c>
      <c r="H159" t="s">
        <v>13</v>
      </c>
      <c r="I159" t="s">
        <v>14</v>
      </c>
      <c r="J159" t="s">
        <v>14</v>
      </c>
      <c r="K159">
        <v>1</v>
      </c>
      <c r="L159" t="s">
        <v>14</v>
      </c>
      <c r="M159" s="1">
        <v>5495000</v>
      </c>
      <c r="P159">
        <v>2817</v>
      </c>
      <c r="Q159">
        <f>IF(Table1[[#This Row],[furnishingstatus]]="furnished", 1, 0)</f>
        <v>1</v>
      </c>
      <c r="R159">
        <f>IF(Table1[[#This Row],[furnishingstatus]]="semi-furnished", 1, 0)</f>
        <v>0</v>
      </c>
      <c r="S159">
        <v>4</v>
      </c>
      <c r="T159">
        <v>2</v>
      </c>
      <c r="U159">
        <v>2</v>
      </c>
      <c r="V159">
        <f>IF(Table1[[#This Row],[mainroad]] = "yes", 1, 0)</f>
        <v>0</v>
      </c>
      <c r="W159">
        <f>IF(Table1[[#This Row],[guestroom]]= "yes", 1, 0)</f>
        <v>1</v>
      </c>
      <c r="X159">
        <f>IF(Table1[[#This Row],[basement]]="yes", 1, 0)</f>
        <v>1</v>
      </c>
      <c r="Y159">
        <f>IF(Table1[[#This Row],[hotwaterheating]]="yes", 1, 0)</f>
        <v>0</v>
      </c>
      <c r="Z159">
        <f>IF(Table1[[#This Row],[airconditioning]]="yes", 1, 0)</f>
        <v>0</v>
      </c>
      <c r="AA159">
        <v>1</v>
      </c>
      <c r="AB159">
        <f>IF(Table1[[#This Row],[prefarea]]= "yes", 1, 0)</f>
        <v>0</v>
      </c>
      <c r="AC159" s="1">
        <v>5495000</v>
      </c>
    </row>
    <row r="160" spans="1:29">
      <c r="A160">
        <v>7980</v>
      </c>
      <c r="B160" t="s">
        <v>16</v>
      </c>
      <c r="C160">
        <v>3</v>
      </c>
      <c r="D160">
        <v>1</v>
      </c>
      <c r="E160">
        <v>1</v>
      </c>
      <c r="F160" t="s">
        <v>13</v>
      </c>
      <c r="G160" t="s">
        <v>14</v>
      </c>
      <c r="H160" t="s">
        <v>14</v>
      </c>
      <c r="I160" t="s">
        <v>14</v>
      </c>
      <c r="J160" t="s">
        <v>14</v>
      </c>
      <c r="K160">
        <v>2</v>
      </c>
      <c r="L160" t="s">
        <v>14</v>
      </c>
      <c r="M160" s="1">
        <v>5495000</v>
      </c>
      <c r="P160">
        <v>7980</v>
      </c>
      <c r="Q160">
        <f>IF(Table1[[#This Row],[furnishingstatus]]="furnished", 1, 0)</f>
        <v>0</v>
      </c>
      <c r="R160">
        <f>IF(Table1[[#This Row],[furnishingstatus]]="semi-furnished", 1, 0)</f>
        <v>1</v>
      </c>
      <c r="S160">
        <v>3</v>
      </c>
      <c r="T160">
        <v>1</v>
      </c>
      <c r="U160">
        <v>1</v>
      </c>
      <c r="V160">
        <f>IF(Table1[[#This Row],[mainroad]] = "yes", 1, 0)</f>
        <v>1</v>
      </c>
      <c r="W160">
        <f>IF(Table1[[#This Row],[guestroom]]= "yes", 1, 0)</f>
        <v>0</v>
      </c>
      <c r="X160">
        <f>IF(Table1[[#This Row],[basement]]="yes", 1, 0)</f>
        <v>0</v>
      </c>
      <c r="Y160">
        <f>IF(Table1[[#This Row],[hotwaterheating]]="yes", 1, 0)</f>
        <v>0</v>
      </c>
      <c r="Z160">
        <f>IF(Table1[[#This Row],[airconditioning]]="yes", 1, 0)</f>
        <v>0</v>
      </c>
      <c r="AA160">
        <v>2</v>
      </c>
      <c r="AB160">
        <f>IF(Table1[[#This Row],[prefarea]]= "yes", 1, 0)</f>
        <v>0</v>
      </c>
      <c r="AC160" s="1">
        <v>5495000</v>
      </c>
    </row>
    <row r="161" spans="1:29">
      <c r="A161">
        <v>3150</v>
      </c>
      <c r="B161" t="s">
        <v>15</v>
      </c>
      <c r="C161">
        <v>3</v>
      </c>
      <c r="D161">
        <v>2</v>
      </c>
      <c r="E161">
        <v>1</v>
      </c>
      <c r="F161" t="s">
        <v>13</v>
      </c>
      <c r="G161" t="s">
        <v>13</v>
      </c>
      <c r="H161" t="s">
        <v>13</v>
      </c>
      <c r="I161" t="s">
        <v>14</v>
      </c>
      <c r="J161" t="s">
        <v>13</v>
      </c>
      <c r="K161">
        <v>0</v>
      </c>
      <c r="L161" t="s">
        <v>14</v>
      </c>
      <c r="M161" s="1">
        <v>5460000</v>
      </c>
      <c r="P161">
        <v>3150</v>
      </c>
      <c r="Q161">
        <f>IF(Table1[[#This Row],[furnishingstatus]]="furnished", 1, 0)</f>
        <v>1</v>
      </c>
      <c r="R161">
        <f>IF(Table1[[#This Row],[furnishingstatus]]="semi-furnished", 1, 0)</f>
        <v>0</v>
      </c>
      <c r="S161">
        <v>3</v>
      </c>
      <c r="T161">
        <v>2</v>
      </c>
      <c r="U161">
        <v>1</v>
      </c>
      <c r="V161">
        <f>IF(Table1[[#This Row],[mainroad]] = "yes", 1, 0)</f>
        <v>1</v>
      </c>
      <c r="W161">
        <f>IF(Table1[[#This Row],[guestroom]]= "yes", 1, 0)</f>
        <v>1</v>
      </c>
      <c r="X161">
        <f>IF(Table1[[#This Row],[basement]]="yes", 1, 0)</f>
        <v>1</v>
      </c>
      <c r="Y161">
        <f>IF(Table1[[#This Row],[hotwaterheating]]="yes", 1, 0)</f>
        <v>0</v>
      </c>
      <c r="Z161">
        <f>IF(Table1[[#This Row],[airconditioning]]="yes", 1, 0)</f>
        <v>1</v>
      </c>
      <c r="AA161">
        <v>0</v>
      </c>
      <c r="AB161">
        <f>IF(Table1[[#This Row],[prefarea]]= "yes", 1, 0)</f>
        <v>0</v>
      </c>
      <c r="AC161" s="1">
        <v>5460000</v>
      </c>
    </row>
    <row r="162" spans="1:29">
      <c r="A162">
        <v>6210</v>
      </c>
      <c r="B162" t="s">
        <v>15</v>
      </c>
      <c r="C162">
        <v>4</v>
      </c>
      <c r="D162">
        <v>1</v>
      </c>
      <c r="E162">
        <v>4</v>
      </c>
      <c r="F162" t="s">
        <v>13</v>
      </c>
      <c r="G162" t="s">
        <v>13</v>
      </c>
      <c r="H162" t="s">
        <v>14</v>
      </c>
      <c r="I162" t="s">
        <v>14</v>
      </c>
      <c r="J162" t="s">
        <v>13</v>
      </c>
      <c r="K162">
        <v>0</v>
      </c>
      <c r="L162" t="s">
        <v>14</v>
      </c>
      <c r="M162" s="1">
        <v>5460000</v>
      </c>
      <c r="P162">
        <v>6210</v>
      </c>
      <c r="Q162">
        <f>IF(Table1[[#This Row],[furnishingstatus]]="furnished", 1, 0)</f>
        <v>1</v>
      </c>
      <c r="R162">
        <f>IF(Table1[[#This Row],[furnishingstatus]]="semi-furnished", 1, 0)</f>
        <v>0</v>
      </c>
      <c r="S162">
        <v>4</v>
      </c>
      <c r="T162">
        <v>1</v>
      </c>
      <c r="U162">
        <v>4</v>
      </c>
      <c r="V162">
        <f>IF(Table1[[#This Row],[mainroad]] = "yes", 1, 0)</f>
        <v>1</v>
      </c>
      <c r="W162">
        <f>IF(Table1[[#This Row],[guestroom]]= "yes", 1, 0)</f>
        <v>1</v>
      </c>
      <c r="X162">
        <f>IF(Table1[[#This Row],[basement]]="yes", 1, 0)</f>
        <v>0</v>
      </c>
      <c r="Y162">
        <f>IF(Table1[[#This Row],[hotwaterheating]]="yes", 1, 0)</f>
        <v>0</v>
      </c>
      <c r="Z162">
        <f>IF(Table1[[#This Row],[airconditioning]]="yes", 1, 0)</f>
        <v>1</v>
      </c>
      <c r="AA162">
        <v>0</v>
      </c>
      <c r="AB162">
        <f>IF(Table1[[#This Row],[prefarea]]= "yes", 1, 0)</f>
        <v>0</v>
      </c>
      <c r="AC162" s="1">
        <v>5460000</v>
      </c>
    </row>
    <row r="163" spans="1:29">
      <c r="A163">
        <v>6100</v>
      </c>
      <c r="B163" t="s">
        <v>16</v>
      </c>
      <c r="C163">
        <v>3</v>
      </c>
      <c r="D163">
        <v>1</v>
      </c>
      <c r="E163">
        <v>3</v>
      </c>
      <c r="F163" t="s">
        <v>13</v>
      </c>
      <c r="G163" t="s">
        <v>13</v>
      </c>
      <c r="H163" t="s">
        <v>14</v>
      </c>
      <c r="I163" t="s">
        <v>14</v>
      </c>
      <c r="J163" t="s">
        <v>13</v>
      </c>
      <c r="K163">
        <v>0</v>
      </c>
      <c r="L163" t="s">
        <v>13</v>
      </c>
      <c r="M163" s="1">
        <v>5460000</v>
      </c>
      <c r="P163">
        <v>6100</v>
      </c>
      <c r="Q163">
        <f>IF(Table1[[#This Row],[furnishingstatus]]="furnished", 1, 0)</f>
        <v>0</v>
      </c>
      <c r="R163">
        <f>IF(Table1[[#This Row],[furnishingstatus]]="semi-furnished", 1, 0)</f>
        <v>1</v>
      </c>
      <c r="S163">
        <v>3</v>
      </c>
      <c r="T163">
        <v>1</v>
      </c>
      <c r="U163">
        <v>3</v>
      </c>
      <c r="V163">
        <f>IF(Table1[[#This Row],[mainroad]] = "yes", 1, 0)</f>
        <v>1</v>
      </c>
      <c r="W163">
        <f>IF(Table1[[#This Row],[guestroom]]= "yes", 1, 0)</f>
        <v>1</v>
      </c>
      <c r="X163">
        <f>IF(Table1[[#This Row],[basement]]="yes", 1, 0)</f>
        <v>0</v>
      </c>
      <c r="Y163">
        <f>IF(Table1[[#This Row],[hotwaterheating]]="yes", 1, 0)</f>
        <v>0</v>
      </c>
      <c r="Z163">
        <f>IF(Table1[[#This Row],[airconditioning]]="yes", 1, 0)</f>
        <v>1</v>
      </c>
      <c r="AA163">
        <v>0</v>
      </c>
      <c r="AB163">
        <f>IF(Table1[[#This Row],[prefarea]]= "yes", 1, 0)</f>
        <v>1</v>
      </c>
      <c r="AC163" s="1">
        <v>5460000</v>
      </c>
    </row>
    <row r="164" spans="1:29">
      <c r="A164">
        <v>6600</v>
      </c>
      <c r="B164" t="s">
        <v>16</v>
      </c>
      <c r="C164">
        <v>4</v>
      </c>
      <c r="D164">
        <v>2</v>
      </c>
      <c r="E164">
        <v>2</v>
      </c>
      <c r="F164" t="s">
        <v>13</v>
      </c>
      <c r="G164" t="s">
        <v>13</v>
      </c>
      <c r="H164" t="s">
        <v>13</v>
      </c>
      <c r="I164" t="s">
        <v>14</v>
      </c>
      <c r="J164" t="s">
        <v>14</v>
      </c>
      <c r="K164">
        <v>0</v>
      </c>
      <c r="L164" t="s">
        <v>13</v>
      </c>
      <c r="M164" s="1">
        <v>5460000</v>
      </c>
      <c r="P164">
        <v>6600</v>
      </c>
      <c r="Q164">
        <f>IF(Table1[[#This Row],[furnishingstatus]]="furnished", 1, 0)</f>
        <v>0</v>
      </c>
      <c r="R164">
        <f>IF(Table1[[#This Row],[furnishingstatus]]="semi-furnished", 1, 0)</f>
        <v>1</v>
      </c>
      <c r="S164">
        <v>4</v>
      </c>
      <c r="T164">
        <v>2</v>
      </c>
      <c r="U164">
        <v>2</v>
      </c>
      <c r="V164">
        <f>IF(Table1[[#This Row],[mainroad]] = "yes", 1, 0)</f>
        <v>1</v>
      </c>
      <c r="W164">
        <f>IF(Table1[[#This Row],[guestroom]]= "yes", 1, 0)</f>
        <v>1</v>
      </c>
      <c r="X164">
        <f>IF(Table1[[#This Row],[basement]]="yes", 1, 0)</f>
        <v>1</v>
      </c>
      <c r="Y164">
        <f>IF(Table1[[#This Row],[hotwaterheating]]="yes", 1, 0)</f>
        <v>0</v>
      </c>
      <c r="Z164">
        <f>IF(Table1[[#This Row],[airconditioning]]="yes", 1, 0)</f>
        <v>0</v>
      </c>
      <c r="AA164">
        <v>0</v>
      </c>
      <c r="AB164">
        <f>IF(Table1[[#This Row],[prefarea]]= "yes", 1, 0)</f>
        <v>1</v>
      </c>
      <c r="AC164" s="1">
        <v>5460000</v>
      </c>
    </row>
    <row r="165" spans="1:29">
      <c r="A165">
        <v>6825</v>
      </c>
      <c r="B165" t="s">
        <v>16</v>
      </c>
      <c r="C165">
        <v>3</v>
      </c>
      <c r="D165">
        <v>1</v>
      </c>
      <c r="E165">
        <v>1</v>
      </c>
      <c r="F165" t="s">
        <v>13</v>
      </c>
      <c r="G165" t="s">
        <v>13</v>
      </c>
      <c r="H165" t="s">
        <v>13</v>
      </c>
      <c r="I165" t="s">
        <v>14</v>
      </c>
      <c r="J165" t="s">
        <v>13</v>
      </c>
      <c r="K165">
        <v>0</v>
      </c>
      <c r="L165" t="s">
        <v>13</v>
      </c>
      <c r="M165" s="1">
        <v>5425000</v>
      </c>
      <c r="P165">
        <v>6825</v>
      </c>
      <c r="Q165">
        <f>IF(Table1[[#This Row],[furnishingstatus]]="furnished", 1, 0)</f>
        <v>0</v>
      </c>
      <c r="R165">
        <f>IF(Table1[[#This Row],[furnishingstatus]]="semi-furnished", 1, 0)</f>
        <v>1</v>
      </c>
      <c r="S165">
        <v>3</v>
      </c>
      <c r="T165">
        <v>1</v>
      </c>
      <c r="U165">
        <v>1</v>
      </c>
      <c r="V165">
        <f>IF(Table1[[#This Row],[mainroad]] = "yes", 1, 0)</f>
        <v>1</v>
      </c>
      <c r="W165">
        <f>IF(Table1[[#This Row],[guestroom]]= "yes", 1, 0)</f>
        <v>1</v>
      </c>
      <c r="X165">
        <f>IF(Table1[[#This Row],[basement]]="yes", 1, 0)</f>
        <v>1</v>
      </c>
      <c r="Y165">
        <f>IF(Table1[[#This Row],[hotwaterheating]]="yes", 1, 0)</f>
        <v>0</v>
      </c>
      <c r="Z165">
        <f>IF(Table1[[#This Row],[airconditioning]]="yes", 1, 0)</f>
        <v>1</v>
      </c>
      <c r="AA165">
        <v>0</v>
      </c>
      <c r="AB165">
        <f>IF(Table1[[#This Row],[prefarea]]= "yes", 1, 0)</f>
        <v>1</v>
      </c>
      <c r="AC165" s="1">
        <v>5425000</v>
      </c>
    </row>
    <row r="166" spans="1:29">
      <c r="A166">
        <v>6710</v>
      </c>
      <c r="B166" t="s">
        <v>15</v>
      </c>
      <c r="C166">
        <v>3</v>
      </c>
      <c r="D166">
        <v>2</v>
      </c>
      <c r="E166">
        <v>2</v>
      </c>
      <c r="F166" t="s">
        <v>13</v>
      </c>
      <c r="G166" t="s">
        <v>13</v>
      </c>
      <c r="H166" t="s">
        <v>13</v>
      </c>
      <c r="I166" t="s">
        <v>14</v>
      </c>
      <c r="J166" t="s">
        <v>14</v>
      </c>
      <c r="K166">
        <v>1</v>
      </c>
      <c r="L166" t="s">
        <v>13</v>
      </c>
      <c r="M166" s="1">
        <v>5390000</v>
      </c>
      <c r="P166">
        <v>6710</v>
      </c>
      <c r="Q166">
        <f>IF(Table1[[#This Row],[furnishingstatus]]="furnished", 1, 0)</f>
        <v>1</v>
      </c>
      <c r="R166">
        <f>IF(Table1[[#This Row],[furnishingstatus]]="semi-furnished", 1, 0)</f>
        <v>0</v>
      </c>
      <c r="S166">
        <v>3</v>
      </c>
      <c r="T166">
        <v>2</v>
      </c>
      <c r="U166">
        <v>2</v>
      </c>
      <c r="V166">
        <f>IF(Table1[[#This Row],[mainroad]] = "yes", 1, 0)</f>
        <v>1</v>
      </c>
      <c r="W166">
        <f>IF(Table1[[#This Row],[guestroom]]= "yes", 1, 0)</f>
        <v>1</v>
      </c>
      <c r="X166">
        <f>IF(Table1[[#This Row],[basement]]="yes", 1, 0)</f>
        <v>1</v>
      </c>
      <c r="Y166">
        <f>IF(Table1[[#This Row],[hotwaterheating]]="yes", 1, 0)</f>
        <v>0</v>
      </c>
      <c r="Z166">
        <f>IF(Table1[[#This Row],[airconditioning]]="yes", 1, 0)</f>
        <v>0</v>
      </c>
      <c r="AA166">
        <v>1</v>
      </c>
      <c r="AB166">
        <f>IF(Table1[[#This Row],[prefarea]]= "yes", 1, 0)</f>
        <v>1</v>
      </c>
      <c r="AC166" s="1">
        <v>5390000</v>
      </c>
    </row>
    <row r="167" spans="1:29">
      <c r="A167">
        <v>6450</v>
      </c>
      <c r="B167" t="s">
        <v>17</v>
      </c>
      <c r="C167">
        <v>3</v>
      </c>
      <c r="D167">
        <v>2</v>
      </c>
      <c r="E167">
        <v>1</v>
      </c>
      <c r="F167" t="s">
        <v>13</v>
      </c>
      <c r="G167" t="s">
        <v>13</v>
      </c>
      <c r="H167" t="s">
        <v>13</v>
      </c>
      <c r="I167" t="s">
        <v>13</v>
      </c>
      <c r="J167" t="s">
        <v>14</v>
      </c>
      <c r="K167">
        <v>0</v>
      </c>
      <c r="L167" t="s">
        <v>14</v>
      </c>
      <c r="M167" s="1">
        <v>5383000</v>
      </c>
      <c r="P167">
        <v>6450</v>
      </c>
      <c r="Q167">
        <f>IF(Table1[[#This Row],[furnishingstatus]]="furnished", 1, 0)</f>
        <v>0</v>
      </c>
      <c r="R167">
        <f>IF(Table1[[#This Row],[furnishingstatus]]="semi-furnished", 1, 0)</f>
        <v>0</v>
      </c>
      <c r="S167">
        <v>3</v>
      </c>
      <c r="T167">
        <v>2</v>
      </c>
      <c r="U167">
        <v>1</v>
      </c>
      <c r="V167">
        <f>IF(Table1[[#This Row],[mainroad]] = "yes", 1, 0)</f>
        <v>1</v>
      </c>
      <c r="W167">
        <f>IF(Table1[[#This Row],[guestroom]]= "yes", 1, 0)</f>
        <v>1</v>
      </c>
      <c r="X167">
        <f>IF(Table1[[#This Row],[basement]]="yes", 1, 0)</f>
        <v>1</v>
      </c>
      <c r="Y167">
        <f>IF(Table1[[#This Row],[hotwaterheating]]="yes", 1, 0)</f>
        <v>1</v>
      </c>
      <c r="Z167">
        <f>IF(Table1[[#This Row],[airconditioning]]="yes", 1, 0)</f>
        <v>0</v>
      </c>
      <c r="AA167">
        <v>0</v>
      </c>
      <c r="AB167">
        <f>IF(Table1[[#This Row],[prefarea]]= "yes", 1, 0)</f>
        <v>0</v>
      </c>
      <c r="AC167" s="1">
        <v>5383000</v>
      </c>
    </row>
    <row r="168" spans="1:29">
      <c r="A168">
        <v>7800</v>
      </c>
      <c r="B168" t="s">
        <v>17</v>
      </c>
      <c r="C168">
        <v>3</v>
      </c>
      <c r="D168">
        <v>1</v>
      </c>
      <c r="E168">
        <v>1</v>
      </c>
      <c r="F168" t="s">
        <v>13</v>
      </c>
      <c r="G168" t="s">
        <v>14</v>
      </c>
      <c r="H168" t="s">
        <v>13</v>
      </c>
      <c r="I168" t="s">
        <v>14</v>
      </c>
      <c r="J168" t="s">
        <v>13</v>
      </c>
      <c r="K168">
        <v>2</v>
      </c>
      <c r="L168" t="s">
        <v>13</v>
      </c>
      <c r="M168" s="1">
        <v>5320000</v>
      </c>
      <c r="P168">
        <v>7800</v>
      </c>
      <c r="Q168">
        <f>IF(Table1[[#This Row],[furnishingstatus]]="furnished", 1, 0)</f>
        <v>0</v>
      </c>
      <c r="R168">
        <f>IF(Table1[[#This Row],[furnishingstatus]]="semi-furnished", 1, 0)</f>
        <v>0</v>
      </c>
      <c r="S168">
        <v>3</v>
      </c>
      <c r="T168">
        <v>1</v>
      </c>
      <c r="U168">
        <v>1</v>
      </c>
      <c r="V168">
        <f>IF(Table1[[#This Row],[mainroad]] = "yes", 1, 0)</f>
        <v>1</v>
      </c>
      <c r="W168">
        <f>IF(Table1[[#This Row],[guestroom]]= "yes", 1, 0)</f>
        <v>0</v>
      </c>
      <c r="X168">
        <f>IF(Table1[[#This Row],[basement]]="yes", 1, 0)</f>
        <v>1</v>
      </c>
      <c r="Y168">
        <f>IF(Table1[[#This Row],[hotwaterheating]]="yes", 1, 0)</f>
        <v>0</v>
      </c>
      <c r="Z168">
        <f>IF(Table1[[#This Row],[airconditioning]]="yes", 1, 0)</f>
        <v>1</v>
      </c>
      <c r="AA168">
        <v>2</v>
      </c>
      <c r="AB168">
        <f>IF(Table1[[#This Row],[prefarea]]= "yes", 1, 0)</f>
        <v>1</v>
      </c>
      <c r="AC168" s="1">
        <v>5320000</v>
      </c>
    </row>
    <row r="169" spans="1:29">
      <c r="A169">
        <v>4600</v>
      </c>
      <c r="B169" t="s">
        <v>16</v>
      </c>
      <c r="C169">
        <v>2</v>
      </c>
      <c r="D169">
        <v>2</v>
      </c>
      <c r="E169">
        <v>1</v>
      </c>
      <c r="F169" t="s">
        <v>13</v>
      </c>
      <c r="G169" t="s">
        <v>14</v>
      </c>
      <c r="H169" t="s">
        <v>14</v>
      </c>
      <c r="I169" t="s">
        <v>14</v>
      </c>
      <c r="J169" t="s">
        <v>13</v>
      </c>
      <c r="K169">
        <v>2</v>
      </c>
      <c r="L169" t="s">
        <v>14</v>
      </c>
      <c r="M169" s="1">
        <v>5285000</v>
      </c>
      <c r="P169">
        <v>4600</v>
      </c>
      <c r="Q169">
        <f>IF(Table1[[#This Row],[furnishingstatus]]="furnished", 1, 0)</f>
        <v>0</v>
      </c>
      <c r="R169">
        <f>IF(Table1[[#This Row],[furnishingstatus]]="semi-furnished", 1, 0)</f>
        <v>1</v>
      </c>
      <c r="S169">
        <v>2</v>
      </c>
      <c r="T169">
        <v>2</v>
      </c>
      <c r="U169">
        <v>1</v>
      </c>
      <c r="V169">
        <f>IF(Table1[[#This Row],[mainroad]] = "yes", 1, 0)</f>
        <v>1</v>
      </c>
      <c r="W169">
        <f>IF(Table1[[#This Row],[guestroom]]= "yes", 1, 0)</f>
        <v>0</v>
      </c>
      <c r="X169">
        <f>IF(Table1[[#This Row],[basement]]="yes", 1, 0)</f>
        <v>0</v>
      </c>
      <c r="Y169">
        <f>IF(Table1[[#This Row],[hotwaterheating]]="yes", 1, 0)</f>
        <v>0</v>
      </c>
      <c r="Z169">
        <f>IF(Table1[[#This Row],[airconditioning]]="yes", 1, 0)</f>
        <v>1</v>
      </c>
      <c r="AA169">
        <v>2</v>
      </c>
      <c r="AB169">
        <f>IF(Table1[[#This Row],[prefarea]]= "yes", 1, 0)</f>
        <v>0</v>
      </c>
      <c r="AC169" s="1">
        <v>5285000</v>
      </c>
    </row>
    <row r="170" spans="1:29">
      <c r="A170">
        <v>4260</v>
      </c>
      <c r="B170" t="s">
        <v>15</v>
      </c>
      <c r="C170">
        <v>4</v>
      </c>
      <c r="D170">
        <v>1</v>
      </c>
      <c r="E170">
        <v>2</v>
      </c>
      <c r="F170" t="s">
        <v>13</v>
      </c>
      <c r="G170" t="s">
        <v>14</v>
      </c>
      <c r="H170" t="s">
        <v>13</v>
      </c>
      <c r="I170" t="s">
        <v>14</v>
      </c>
      <c r="J170" t="s">
        <v>13</v>
      </c>
      <c r="K170">
        <v>0</v>
      </c>
      <c r="L170" t="s">
        <v>14</v>
      </c>
      <c r="M170" s="1">
        <v>5250000</v>
      </c>
      <c r="P170">
        <v>4260</v>
      </c>
      <c r="Q170">
        <f>IF(Table1[[#This Row],[furnishingstatus]]="furnished", 1, 0)</f>
        <v>1</v>
      </c>
      <c r="R170">
        <f>IF(Table1[[#This Row],[furnishingstatus]]="semi-furnished", 1, 0)</f>
        <v>0</v>
      </c>
      <c r="S170">
        <v>4</v>
      </c>
      <c r="T170">
        <v>1</v>
      </c>
      <c r="U170">
        <v>2</v>
      </c>
      <c r="V170">
        <f>IF(Table1[[#This Row],[mainroad]] = "yes", 1, 0)</f>
        <v>1</v>
      </c>
      <c r="W170">
        <f>IF(Table1[[#This Row],[guestroom]]= "yes", 1, 0)</f>
        <v>0</v>
      </c>
      <c r="X170">
        <f>IF(Table1[[#This Row],[basement]]="yes", 1, 0)</f>
        <v>1</v>
      </c>
      <c r="Y170">
        <f>IF(Table1[[#This Row],[hotwaterheating]]="yes", 1, 0)</f>
        <v>0</v>
      </c>
      <c r="Z170">
        <f>IF(Table1[[#This Row],[airconditioning]]="yes", 1, 0)</f>
        <v>1</v>
      </c>
      <c r="AA170">
        <v>0</v>
      </c>
      <c r="AB170">
        <f>IF(Table1[[#This Row],[prefarea]]= "yes", 1, 0)</f>
        <v>0</v>
      </c>
      <c r="AC170" s="1">
        <v>5250000</v>
      </c>
    </row>
    <row r="171" spans="1:29">
      <c r="A171">
        <v>6540</v>
      </c>
      <c r="B171" t="s">
        <v>16</v>
      </c>
      <c r="C171">
        <v>4</v>
      </c>
      <c r="D171">
        <v>2</v>
      </c>
      <c r="E171">
        <v>2</v>
      </c>
      <c r="F171" t="s">
        <v>14</v>
      </c>
      <c r="G171" t="s">
        <v>14</v>
      </c>
      <c r="H171" t="s">
        <v>14</v>
      </c>
      <c r="I171" t="s">
        <v>14</v>
      </c>
      <c r="J171" t="s">
        <v>13</v>
      </c>
      <c r="K171">
        <v>0</v>
      </c>
      <c r="L171" t="s">
        <v>14</v>
      </c>
      <c r="M171" s="1">
        <v>5250000</v>
      </c>
      <c r="P171">
        <v>6540</v>
      </c>
      <c r="Q171">
        <f>IF(Table1[[#This Row],[furnishingstatus]]="furnished", 1, 0)</f>
        <v>0</v>
      </c>
      <c r="R171">
        <f>IF(Table1[[#This Row],[furnishingstatus]]="semi-furnished", 1, 0)</f>
        <v>1</v>
      </c>
      <c r="S171">
        <v>4</v>
      </c>
      <c r="T171">
        <v>2</v>
      </c>
      <c r="U171">
        <v>2</v>
      </c>
      <c r="V171">
        <f>IF(Table1[[#This Row],[mainroad]] = "yes", 1, 0)</f>
        <v>0</v>
      </c>
      <c r="W171">
        <f>IF(Table1[[#This Row],[guestroom]]= "yes", 1, 0)</f>
        <v>0</v>
      </c>
      <c r="X171">
        <f>IF(Table1[[#This Row],[basement]]="yes", 1, 0)</f>
        <v>0</v>
      </c>
      <c r="Y171">
        <f>IF(Table1[[#This Row],[hotwaterheating]]="yes", 1, 0)</f>
        <v>0</v>
      </c>
      <c r="Z171">
        <f>IF(Table1[[#This Row],[airconditioning]]="yes", 1, 0)</f>
        <v>1</v>
      </c>
      <c r="AA171">
        <v>0</v>
      </c>
      <c r="AB171">
        <f>IF(Table1[[#This Row],[prefarea]]= "yes", 1, 0)</f>
        <v>0</v>
      </c>
      <c r="AC171" s="1">
        <v>5250000</v>
      </c>
    </row>
    <row r="172" spans="1:29">
      <c r="A172">
        <v>5500</v>
      </c>
      <c r="B172" t="s">
        <v>16</v>
      </c>
      <c r="C172">
        <v>3</v>
      </c>
      <c r="D172">
        <v>2</v>
      </c>
      <c r="E172">
        <v>1</v>
      </c>
      <c r="F172" t="s">
        <v>13</v>
      </c>
      <c r="G172" t="s">
        <v>14</v>
      </c>
      <c r="H172" t="s">
        <v>13</v>
      </c>
      <c r="I172" t="s">
        <v>14</v>
      </c>
      <c r="J172" t="s">
        <v>14</v>
      </c>
      <c r="K172">
        <v>0</v>
      </c>
      <c r="L172" t="s">
        <v>14</v>
      </c>
      <c r="M172" s="1">
        <v>5250000</v>
      </c>
      <c r="P172">
        <v>5500</v>
      </c>
      <c r="Q172">
        <f>IF(Table1[[#This Row],[furnishingstatus]]="furnished", 1, 0)</f>
        <v>0</v>
      </c>
      <c r="R172">
        <f>IF(Table1[[#This Row],[furnishingstatus]]="semi-furnished", 1, 0)</f>
        <v>1</v>
      </c>
      <c r="S172">
        <v>3</v>
      </c>
      <c r="T172">
        <v>2</v>
      </c>
      <c r="U172">
        <v>1</v>
      </c>
      <c r="V172">
        <f>IF(Table1[[#This Row],[mainroad]] = "yes", 1, 0)</f>
        <v>1</v>
      </c>
      <c r="W172">
        <f>IF(Table1[[#This Row],[guestroom]]= "yes", 1, 0)</f>
        <v>0</v>
      </c>
      <c r="X172">
        <f>IF(Table1[[#This Row],[basement]]="yes", 1, 0)</f>
        <v>1</v>
      </c>
      <c r="Y172">
        <f>IF(Table1[[#This Row],[hotwaterheating]]="yes", 1, 0)</f>
        <v>0</v>
      </c>
      <c r="Z172">
        <f>IF(Table1[[#This Row],[airconditioning]]="yes", 1, 0)</f>
        <v>0</v>
      </c>
      <c r="AA172">
        <v>0</v>
      </c>
      <c r="AB172">
        <f>IF(Table1[[#This Row],[prefarea]]= "yes", 1, 0)</f>
        <v>0</v>
      </c>
      <c r="AC172" s="1">
        <v>5250000</v>
      </c>
    </row>
    <row r="173" spans="1:29">
      <c r="A173">
        <v>10269</v>
      </c>
      <c r="B173" t="s">
        <v>16</v>
      </c>
      <c r="C173">
        <v>3</v>
      </c>
      <c r="D173">
        <v>1</v>
      </c>
      <c r="E173">
        <v>1</v>
      </c>
      <c r="F173" t="s">
        <v>13</v>
      </c>
      <c r="G173" t="s">
        <v>14</v>
      </c>
      <c r="H173" t="s">
        <v>14</v>
      </c>
      <c r="I173" t="s">
        <v>14</v>
      </c>
      <c r="J173" t="s">
        <v>14</v>
      </c>
      <c r="K173">
        <v>1</v>
      </c>
      <c r="L173" t="s">
        <v>13</v>
      </c>
      <c r="M173" s="1">
        <v>5250000</v>
      </c>
      <c r="P173">
        <v>10269</v>
      </c>
      <c r="Q173">
        <f>IF(Table1[[#This Row],[furnishingstatus]]="furnished", 1, 0)</f>
        <v>0</v>
      </c>
      <c r="R173">
        <f>IF(Table1[[#This Row],[furnishingstatus]]="semi-furnished", 1, 0)</f>
        <v>1</v>
      </c>
      <c r="S173">
        <v>3</v>
      </c>
      <c r="T173">
        <v>1</v>
      </c>
      <c r="U173">
        <v>1</v>
      </c>
      <c r="V173">
        <f>IF(Table1[[#This Row],[mainroad]] = "yes", 1, 0)</f>
        <v>1</v>
      </c>
      <c r="W173">
        <f>IF(Table1[[#This Row],[guestroom]]= "yes", 1, 0)</f>
        <v>0</v>
      </c>
      <c r="X173">
        <f>IF(Table1[[#This Row],[basement]]="yes", 1, 0)</f>
        <v>0</v>
      </c>
      <c r="Y173">
        <f>IF(Table1[[#This Row],[hotwaterheating]]="yes", 1, 0)</f>
        <v>0</v>
      </c>
      <c r="Z173">
        <f>IF(Table1[[#This Row],[airconditioning]]="yes", 1, 0)</f>
        <v>0</v>
      </c>
      <c r="AA173">
        <v>1</v>
      </c>
      <c r="AB173">
        <f>IF(Table1[[#This Row],[prefarea]]= "yes", 1, 0)</f>
        <v>1</v>
      </c>
      <c r="AC173" s="1">
        <v>5250000</v>
      </c>
    </row>
    <row r="174" spans="1:29">
      <c r="A174">
        <v>8400</v>
      </c>
      <c r="B174" t="s">
        <v>17</v>
      </c>
      <c r="C174">
        <v>3</v>
      </c>
      <c r="D174">
        <v>1</v>
      </c>
      <c r="E174">
        <v>2</v>
      </c>
      <c r="F174" t="s">
        <v>13</v>
      </c>
      <c r="G174" t="s">
        <v>13</v>
      </c>
      <c r="H174" t="s">
        <v>13</v>
      </c>
      <c r="I174" t="s">
        <v>14</v>
      </c>
      <c r="J174" t="s">
        <v>13</v>
      </c>
      <c r="K174">
        <v>2</v>
      </c>
      <c r="L174" t="s">
        <v>13</v>
      </c>
      <c r="M174" s="1">
        <v>5250000</v>
      </c>
      <c r="P174">
        <v>8400</v>
      </c>
      <c r="Q174">
        <f>IF(Table1[[#This Row],[furnishingstatus]]="furnished", 1, 0)</f>
        <v>0</v>
      </c>
      <c r="R174">
        <f>IF(Table1[[#This Row],[furnishingstatus]]="semi-furnished", 1, 0)</f>
        <v>0</v>
      </c>
      <c r="S174">
        <v>3</v>
      </c>
      <c r="T174">
        <v>1</v>
      </c>
      <c r="U174">
        <v>2</v>
      </c>
      <c r="V174">
        <f>IF(Table1[[#This Row],[mainroad]] = "yes", 1, 0)</f>
        <v>1</v>
      </c>
      <c r="W174">
        <f>IF(Table1[[#This Row],[guestroom]]= "yes", 1, 0)</f>
        <v>1</v>
      </c>
      <c r="X174">
        <f>IF(Table1[[#This Row],[basement]]="yes", 1, 0)</f>
        <v>1</v>
      </c>
      <c r="Y174">
        <f>IF(Table1[[#This Row],[hotwaterheating]]="yes", 1, 0)</f>
        <v>0</v>
      </c>
      <c r="Z174">
        <f>IF(Table1[[#This Row],[airconditioning]]="yes", 1, 0)</f>
        <v>1</v>
      </c>
      <c r="AA174">
        <v>2</v>
      </c>
      <c r="AB174">
        <f>IF(Table1[[#This Row],[prefarea]]= "yes", 1, 0)</f>
        <v>1</v>
      </c>
      <c r="AC174" s="1">
        <v>5250000</v>
      </c>
    </row>
    <row r="175" spans="1:29">
      <c r="A175">
        <v>5300</v>
      </c>
      <c r="B175" t="s">
        <v>17</v>
      </c>
      <c r="C175">
        <v>4</v>
      </c>
      <c r="D175">
        <v>2</v>
      </c>
      <c r="E175">
        <v>1</v>
      </c>
      <c r="F175" t="s">
        <v>13</v>
      </c>
      <c r="G175" t="s">
        <v>14</v>
      </c>
      <c r="H175" t="s">
        <v>14</v>
      </c>
      <c r="I175" t="s">
        <v>14</v>
      </c>
      <c r="J175" t="s">
        <v>13</v>
      </c>
      <c r="K175">
        <v>0</v>
      </c>
      <c r="L175" t="s">
        <v>13</v>
      </c>
      <c r="M175" s="1">
        <v>5250000</v>
      </c>
      <c r="P175">
        <v>5300</v>
      </c>
      <c r="Q175">
        <f>IF(Table1[[#This Row],[furnishingstatus]]="furnished", 1, 0)</f>
        <v>0</v>
      </c>
      <c r="R175">
        <f>IF(Table1[[#This Row],[furnishingstatus]]="semi-furnished", 1, 0)</f>
        <v>0</v>
      </c>
      <c r="S175">
        <v>4</v>
      </c>
      <c r="T175">
        <v>2</v>
      </c>
      <c r="U175">
        <v>1</v>
      </c>
      <c r="V175">
        <f>IF(Table1[[#This Row],[mainroad]] = "yes", 1, 0)</f>
        <v>1</v>
      </c>
      <c r="W175">
        <f>IF(Table1[[#This Row],[guestroom]]= "yes", 1, 0)</f>
        <v>0</v>
      </c>
      <c r="X175">
        <f>IF(Table1[[#This Row],[basement]]="yes", 1, 0)</f>
        <v>0</v>
      </c>
      <c r="Y175">
        <f>IF(Table1[[#This Row],[hotwaterheating]]="yes", 1, 0)</f>
        <v>0</v>
      </c>
      <c r="Z175">
        <f>IF(Table1[[#This Row],[airconditioning]]="yes", 1, 0)</f>
        <v>1</v>
      </c>
      <c r="AA175">
        <v>0</v>
      </c>
      <c r="AB175">
        <f>IF(Table1[[#This Row],[prefarea]]= "yes", 1, 0)</f>
        <v>1</v>
      </c>
      <c r="AC175" s="1">
        <v>5250000</v>
      </c>
    </row>
    <row r="176" spans="1:29">
      <c r="A176">
        <v>3800</v>
      </c>
      <c r="B176" t="s">
        <v>17</v>
      </c>
      <c r="C176">
        <v>3</v>
      </c>
      <c r="D176">
        <v>1</v>
      </c>
      <c r="E176">
        <v>2</v>
      </c>
      <c r="F176" t="s">
        <v>13</v>
      </c>
      <c r="G176" t="s">
        <v>13</v>
      </c>
      <c r="H176" t="s">
        <v>13</v>
      </c>
      <c r="I176" t="s">
        <v>14</v>
      </c>
      <c r="J176" t="s">
        <v>14</v>
      </c>
      <c r="K176">
        <v>1</v>
      </c>
      <c r="L176" t="s">
        <v>13</v>
      </c>
      <c r="M176" s="1">
        <v>5250000</v>
      </c>
      <c r="P176">
        <v>3800</v>
      </c>
      <c r="Q176">
        <f>IF(Table1[[#This Row],[furnishingstatus]]="furnished", 1, 0)</f>
        <v>0</v>
      </c>
      <c r="R176">
        <f>IF(Table1[[#This Row],[furnishingstatus]]="semi-furnished", 1, 0)</f>
        <v>0</v>
      </c>
      <c r="S176">
        <v>3</v>
      </c>
      <c r="T176">
        <v>1</v>
      </c>
      <c r="U176">
        <v>2</v>
      </c>
      <c r="V176">
        <f>IF(Table1[[#This Row],[mainroad]] = "yes", 1, 0)</f>
        <v>1</v>
      </c>
      <c r="W176">
        <f>IF(Table1[[#This Row],[guestroom]]= "yes", 1, 0)</f>
        <v>1</v>
      </c>
      <c r="X176">
        <f>IF(Table1[[#This Row],[basement]]="yes", 1, 0)</f>
        <v>1</v>
      </c>
      <c r="Y176">
        <f>IF(Table1[[#This Row],[hotwaterheating]]="yes", 1, 0)</f>
        <v>0</v>
      </c>
      <c r="Z176">
        <f>IF(Table1[[#This Row],[airconditioning]]="yes", 1, 0)</f>
        <v>0</v>
      </c>
      <c r="AA176">
        <v>1</v>
      </c>
      <c r="AB176">
        <f>IF(Table1[[#This Row],[prefarea]]= "yes", 1, 0)</f>
        <v>1</v>
      </c>
      <c r="AC176" s="1">
        <v>5250000</v>
      </c>
    </row>
    <row r="177" spans="1:29">
      <c r="A177">
        <v>9800</v>
      </c>
      <c r="B177" t="s">
        <v>16</v>
      </c>
      <c r="C177">
        <v>4</v>
      </c>
      <c r="D177">
        <v>2</v>
      </c>
      <c r="E177">
        <v>2</v>
      </c>
      <c r="F177" t="s">
        <v>13</v>
      </c>
      <c r="G177" t="s">
        <v>13</v>
      </c>
      <c r="H177" t="s">
        <v>14</v>
      </c>
      <c r="I177" t="s">
        <v>14</v>
      </c>
      <c r="J177" t="s">
        <v>14</v>
      </c>
      <c r="K177">
        <v>2</v>
      </c>
      <c r="L177" t="s">
        <v>14</v>
      </c>
      <c r="M177" s="1">
        <v>5250000</v>
      </c>
      <c r="P177">
        <v>9800</v>
      </c>
      <c r="Q177">
        <f>IF(Table1[[#This Row],[furnishingstatus]]="furnished", 1, 0)</f>
        <v>0</v>
      </c>
      <c r="R177">
        <f>IF(Table1[[#This Row],[furnishingstatus]]="semi-furnished", 1, 0)</f>
        <v>1</v>
      </c>
      <c r="S177">
        <v>4</v>
      </c>
      <c r="T177">
        <v>2</v>
      </c>
      <c r="U177">
        <v>2</v>
      </c>
      <c r="V177">
        <f>IF(Table1[[#This Row],[mainroad]] = "yes", 1, 0)</f>
        <v>1</v>
      </c>
      <c r="W177">
        <f>IF(Table1[[#This Row],[guestroom]]= "yes", 1, 0)</f>
        <v>1</v>
      </c>
      <c r="X177">
        <f>IF(Table1[[#This Row],[basement]]="yes", 1, 0)</f>
        <v>0</v>
      </c>
      <c r="Y177">
        <f>IF(Table1[[#This Row],[hotwaterheating]]="yes", 1, 0)</f>
        <v>0</v>
      </c>
      <c r="Z177">
        <f>IF(Table1[[#This Row],[airconditioning]]="yes", 1, 0)</f>
        <v>0</v>
      </c>
      <c r="AA177">
        <v>2</v>
      </c>
      <c r="AB177">
        <f>IF(Table1[[#This Row],[prefarea]]= "yes", 1, 0)</f>
        <v>0</v>
      </c>
      <c r="AC177" s="1">
        <v>5250000</v>
      </c>
    </row>
    <row r="178" spans="1:29">
      <c r="A178">
        <v>8520</v>
      </c>
      <c r="B178" t="s">
        <v>15</v>
      </c>
      <c r="C178">
        <v>3</v>
      </c>
      <c r="D178">
        <v>1</v>
      </c>
      <c r="E178">
        <v>1</v>
      </c>
      <c r="F178" t="s">
        <v>13</v>
      </c>
      <c r="G178" t="s">
        <v>14</v>
      </c>
      <c r="H178" t="s">
        <v>14</v>
      </c>
      <c r="I178" t="s">
        <v>14</v>
      </c>
      <c r="J178" t="s">
        <v>13</v>
      </c>
      <c r="K178">
        <v>2</v>
      </c>
      <c r="L178" t="s">
        <v>14</v>
      </c>
      <c r="M178" s="1">
        <v>5250000</v>
      </c>
      <c r="P178">
        <v>8520</v>
      </c>
      <c r="Q178">
        <f>IF(Table1[[#This Row],[furnishingstatus]]="furnished", 1, 0)</f>
        <v>1</v>
      </c>
      <c r="R178">
        <f>IF(Table1[[#This Row],[furnishingstatus]]="semi-furnished", 1, 0)</f>
        <v>0</v>
      </c>
      <c r="S178">
        <v>3</v>
      </c>
      <c r="T178">
        <v>1</v>
      </c>
      <c r="U178">
        <v>1</v>
      </c>
      <c r="V178">
        <f>IF(Table1[[#This Row],[mainroad]] = "yes", 1, 0)</f>
        <v>1</v>
      </c>
      <c r="W178">
        <f>IF(Table1[[#This Row],[guestroom]]= "yes", 1, 0)</f>
        <v>0</v>
      </c>
      <c r="X178">
        <f>IF(Table1[[#This Row],[basement]]="yes", 1, 0)</f>
        <v>0</v>
      </c>
      <c r="Y178">
        <f>IF(Table1[[#This Row],[hotwaterheating]]="yes", 1, 0)</f>
        <v>0</v>
      </c>
      <c r="Z178">
        <f>IF(Table1[[#This Row],[airconditioning]]="yes", 1, 0)</f>
        <v>1</v>
      </c>
      <c r="AA178">
        <v>2</v>
      </c>
      <c r="AB178">
        <f>IF(Table1[[#This Row],[prefarea]]= "yes", 1, 0)</f>
        <v>0</v>
      </c>
      <c r="AC178" s="1">
        <v>5250000</v>
      </c>
    </row>
    <row r="179" spans="1:29">
      <c r="A179">
        <v>6050</v>
      </c>
      <c r="B179" t="s">
        <v>16</v>
      </c>
      <c r="C179">
        <v>3</v>
      </c>
      <c r="D179">
        <v>1</v>
      </c>
      <c r="E179">
        <v>1</v>
      </c>
      <c r="F179" t="s">
        <v>13</v>
      </c>
      <c r="G179" t="s">
        <v>14</v>
      </c>
      <c r="H179" t="s">
        <v>13</v>
      </c>
      <c r="I179" t="s">
        <v>14</v>
      </c>
      <c r="J179" t="s">
        <v>14</v>
      </c>
      <c r="K179">
        <v>0</v>
      </c>
      <c r="L179" t="s">
        <v>13</v>
      </c>
      <c r="M179" s="1">
        <v>5243000</v>
      </c>
      <c r="P179">
        <v>6050</v>
      </c>
      <c r="Q179">
        <f>IF(Table1[[#This Row],[furnishingstatus]]="furnished", 1, 0)</f>
        <v>0</v>
      </c>
      <c r="R179">
        <f>IF(Table1[[#This Row],[furnishingstatus]]="semi-furnished", 1, 0)</f>
        <v>1</v>
      </c>
      <c r="S179">
        <v>3</v>
      </c>
      <c r="T179">
        <v>1</v>
      </c>
      <c r="U179">
        <v>1</v>
      </c>
      <c r="V179">
        <f>IF(Table1[[#This Row],[mainroad]] = "yes", 1, 0)</f>
        <v>1</v>
      </c>
      <c r="W179">
        <f>IF(Table1[[#This Row],[guestroom]]= "yes", 1, 0)</f>
        <v>0</v>
      </c>
      <c r="X179">
        <f>IF(Table1[[#This Row],[basement]]="yes", 1, 0)</f>
        <v>1</v>
      </c>
      <c r="Y179">
        <f>IF(Table1[[#This Row],[hotwaterheating]]="yes", 1, 0)</f>
        <v>0</v>
      </c>
      <c r="Z179">
        <f>IF(Table1[[#This Row],[airconditioning]]="yes", 1, 0)</f>
        <v>0</v>
      </c>
      <c r="AA179">
        <v>0</v>
      </c>
      <c r="AB179">
        <f>IF(Table1[[#This Row],[prefarea]]= "yes", 1, 0)</f>
        <v>1</v>
      </c>
      <c r="AC179" s="1">
        <v>5243000</v>
      </c>
    </row>
    <row r="180" spans="1:29">
      <c r="A180">
        <v>7085</v>
      </c>
      <c r="B180" t="s">
        <v>16</v>
      </c>
      <c r="C180">
        <v>3</v>
      </c>
      <c r="D180">
        <v>1</v>
      </c>
      <c r="E180">
        <v>1</v>
      </c>
      <c r="F180" t="s">
        <v>13</v>
      </c>
      <c r="G180" t="s">
        <v>13</v>
      </c>
      <c r="H180" t="s">
        <v>13</v>
      </c>
      <c r="I180" t="s">
        <v>14</v>
      </c>
      <c r="J180" t="s">
        <v>14</v>
      </c>
      <c r="K180">
        <v>2</v>
      </c>
      <c r="L180" t="s">
        <v>13</v>
      </c>
      <c r="M180" s="1">
        <v>5229000</v>
      </c>
      <c r="P180">
        <v>7085</v>
      </c>
      <c r="Q180">
        <f>IF(Table1[[#This Row],[furnishingstatus]]="furnished", 1, 0)</f>
        <v>0</v>
      </c>
      <c r="R180">
        <f>IF(Table1[[#This Row],[furnishingstatus]]="semi-furnished", 1, 0)</f>
        <v>1</v>
      </c>
      <c r="S180">
        <v>3</v>
      </c>
      <c r="T180">
        <v>1</v>
      </c>
      <c r="U180">
        <v>1</v>
      </c>
      <c r="V180">
        <f>IF(Table1[[#This Row],[mainroad]] = "yes", 1, 0)</f>
        <v>1</v>
      </c>
      <c r="W180">
        <f>IF(Table1[[#This Row],[guestroom]]= "yes", 1, 0)</f>
        <v>1</v>
      </c>
      <c r="X180">
        <f>IF(Table1[[#This Row],[basement]]="yes", 1, 0)</f>
        <v>1</v>
      </c>
      <c r="Y180">
        <f>IF(Table1[[#This Row],[hotwaterheating]]="yes", 1, 0)</f>
        <v>0</v>
      </c>
      <c r="Z180">
        <f>IF(Table1[[#This Row],[airconditioning]]="yes", 1, 0)</f>
        <v>0</v>
      </c>
      <c r="AA180">
        <v>2</v>
      </c>
      <c r="AB180">
        <f>IF(Table1[[#This Row],[prefarea]]= "yes", 1, 0)</f>
        <v>1</v>
      </c>
      <c r="AC180" s="1">
        <v>5229000</v>
      </c>
    </row>
    <row r="181" spans="1:29">
      <c r="A181">
        <v>3180</v>
      </c>
      <c r="B181" t="s">
        <v>16</v>
      </c>
      <c r="C181">
        <v>3</v>
      </c>
      <c r="D181">
        <v>2</v>
      </c>
      <c r="E181">
        <v>2</v>
      </c>
      <c r="F181" t="s">
        <v>13</v>
      </c>
      <c r="G181" t="s">
        <v>14</v>
      </c>
      <c r="H181" t="s">
        <v>14</v>
      </c>
      <c r="I181" t="s">
        <v>14</v>
      </c>
      <c r="J181" t="s">
        <v>14</v>
      </c>
      <c r="K181">
        <v>2</v>
      </c>
      <c r="L181" t="s">
        <v>14</v>
      </c>
      <c r="M181" s="1">
        <v>5215000</v>
      </c>
      <c r="P181">
        <v>3180</v>
      </c>
      <c r="Q181">
        <f>IF(Table1[[#This Row],[furnishingstatus]]="furnished", 1, 0)</f>
        <v>0</v>
      </c>
      <c r="R181">
        <f>IF(Table1[[#This Row],[furnishingstatus]]="semi-furnished", 1, 0)</f>
        <v>1</v>
      </c>
      <c r="S181">
        <v>3</v>
      </c>
      <c r="T181">
        <v>2</v>
      </c>
      <c r="U181">
        <v>2</v>
      </c>
      <c r="V181">
        <f>IF(Table1[[#This Row],[mainroad]] = "yes", 1, 0)</f>
        <v>1</v>
      </c>
      <c r="W181">
        <f>IF(Table1[[#This Row],[guestroom]]= "yes", 1, 0)</f>
        <v>0</v>
      </c>
      <c r="X181">
        <f>IF(Table1[[#This Row],[basement]]="yes", 1, 0)</f>
        <v>0</v>
      </c>
      <c r="Y181">
        <f>IF(Table1[[#This Row],[hotwaterheating]]="yes", 1, 0)</f>
        <v>0</v>
      </c>
      <c r="Z181">
        <f>IF(Table1[[#This Row],[airconditioning]]="yes", 1, 0)</f>
        <v>0</v>
      </c>
      <c r="AA181">
        <v>2</v>
      </c>
      <c r="AB181">
        <f>IF(Table1[[#This Row],[prefarea]]= "yes", 1, 0)</f>
        <v>0</v>
      </c>
      <c r="AC181" s="1">
        <v>5215000</v>
      </c>
    </row>
    <row r="182" spans="1:29">
      <c r="A182">
        <v>4500</v>
      </c>
      <c r="B182" t="s">
        <v>16</v>
      </c>
      <c r="C182">
        <v>4</v>
      </c>
      <c r="D182">
        <v>2</v>
      </c>
      <c r="E182">
        <v>1</v>
      </c>
      <c r="F182" t="s">
        <v>14</v>
      </c>
      <c r="G182" t="s">
        <v>14</v>
      </c>
      <c r="H182" t="s">
        <v>13</v>
      </c>
      <c r="I182" t="s">
        <v>14</v>
      </c>
      <c r="J182" t="s">
        <v>13</v>
      </c>
      <c r="K182">
        <v>2</v>
      </c>
      <c r="L182" t="s">
        <v>14</v>
      </c>
      <c r="M182" s="1">
        <v>5215000</v>
      </c>
      <c r="P182">
        <v>4500</v>
      </c>
      <c r="Q182">
        <f>IF(Table1[[#This Row],[furnishingstatus]]="furnished", 1, 0)</f>
        <v>0</v>
      </c>
      <c r="R182">
        <f>IF(Table1[[#This Row],[furnishingstatus]]="semi-furnished", 1, 0)</f>
        <v>1</v>
      </c>
      <c r="S182">
        <v>4</v>
      </c>
      <c r="T182">
        <v>2</v>
      </c>
      <c r="U182">
        <v>1</v>
      </c>
      <c r="V182">
        <f>IF(Table1[[#This Row],[mainroad]] = "yes", 1, 0)</f>
        <v>0</v>
      </c>
      <c r="W182">
        <f>IF(Table1[[#This Row],[guestroom]]= "yes", 1, 0)</f>
        <v>0</v>
      </c>
      <c r="X182">
        <f>IF(Table1[[#This Row],[basement]]="yes", 1, 0)</f>
        <v>1</v>
      </c>
      <c r="Y182">
        <f>IF(Table1[[#This Row],[hotwaterheating]]="yes", 1, 0)</f>
        <v>0</v>
      </c>
      <c r="Z182">
        <f>IF(Table1[[#This Row],[airconditioning]]="yes", 1, 0)</f>
        <v>1</v>
      </c>
      <c r="AA182">
        <v>2</v>
      </c>
      <c r="AB182">
        <f>IF(Table1[[#This Row],[prefarea]]= "yes", 1, 0)</f>
        <v>0</v>
      </c>
      <c r="AC182" s="1">
        <v>5215000</v>
      </c>
    </row>
    <row r="183" spans="1:29">
      <c r="A183">
        <v>7200</v>
      </c>
      <c r="B183" t="s">
        <v>15</v>
      </c>
      <c r="C183">
        <v>3</v>
      </c>
      <c r="D183">
        <v>1</v>
      </c>
      <c r="E183">
        <v>2</v>
      </c>
      <c r="F183" t="s">
        <v>13</v>
      </c>
      <c r="G183" t="s">
        <v>13</v>
      </c>
      <c r="H183" t="s">
        <v>13</v>
      </c>
      <c r="I183" t="s">
        <v>14</v>
      </c>
      <c r="J183" t="s">
        <v>14</v>
      </c>
      <c r="K183">
        <v>1</v>
      </c>
      <c r="L183" t="s">
        <v>13</v>
      </c>
      <c r="M183" s="1">
        <v>5215000</v>
      </c>
      <c r="P183">
        <v>7200</v>
      </c>
      <c r="Q183">
        <f>IF(Table1[[#This Row],[furnishingstatus]]="furnished", 1, 0)</f>
        <v>1</v>
      </c>
      <c r="R183">
        <f>IF(Table1[[#This Row],[furnishingstatus]]="semi-furnished", 1, 0)</f>
        <v>0</v>
      </c>
      <c r="S183">
        <v>3</v>
      </c>
      <c r="T183">
        <v>1</v>
      </c>
      <c r="U183">
        <v>2</v>
      </c>
      <c r="V183">
        <f>IF(Table1[[#This Row],[mainroad]] = "yes", 1, 0)</f>
        <v>1</v>
      </c>
      <c r="W183">
        <f>IF(Table1[[#This Row],[guestroom]]= "yes", 1, 0)</f>
        <v>1</v>
      </c>
      <c r="X183">
        <f>IF(Table1[[#This Row],[basement]]="yes", 1, 0)</f>
        <v>1</v>
      </c>
      <c r="Y183">
        <f>IF(Table1[[#This Row],[hotwaterheating]]="yes", 1, 0)</f>
        <v>0</v>
      </c>
      <c r="Z183">
        <f>IF(Table1[[#This Row],[airconditioning]]="yes", 1, 0)</f>
        <v>0</v>
      </c>
      <c r="AA183">
        <v>1</v>
      </c>
      <c r="AB183">
        <f>IF(Table1[[#This Row],[prefarea]]= "yes", 1, 0)</f>
        <v>1</v>
      </c>
      <c r="AC183" s="1">
        <v>5215000</v>
      </c>
    </row>
    <row r="184" spans="1:29">
      <c r="A184">
        <v>3410</v>
      </c>
      <c r="B184" t="s">
        <v>16</v>
      </c>
      <c r="C184">
        <v>3</v>
      </c>
      <c r="D184">
        <v>1</v>
      </c>
      <c r="E184">
        <v>2</v>
      </c>
      <c r="F184" t="s">
        <v>14</v>
      </c>
      <c r="G184" t="s">
        <v>14</v>
      </c>
      <c r="H184" t="s">
        <v>14</v>
      </c>
      <c r="I184" t="s">
        <v>14</v>
      </c>
      <c r="J184" t="s">
        <v>13</v>
      </c>
      <c r="K184">
        <v>0</v>
      </c>
      <c r="L184" t="s">
        <v>14</v>
      </c>
      <c r="M184" s="1">
        <v>5145000</v>
      </c>
      <c r="P184">
        <v>3410</v>
      </c>
      <c r="Q184">
        <f>IF(Table1[[#This Row],[furnishingstatus]]="furnished", 1, 0)</f>
        <v>0</v>
      </c>
      <c r="R184">
        <f>IF(Table1[[#This Row],[furnishingstatus]]="semi-furnished", 1, 0)</f>
        <v>1</v>
      </c>
      <c r="S184">
        <v>3</v>
      </c>
      <c r="T184">
        <v>1</v>
      </c>
      <c r="U184">
        <v>2</v>
      </c>
      <c r="V184">
        <f>IF(Table1[[#This Row],[mainroad]] = "yes", 1, 0)</f>
        <v>0</v>
      </c>
      <c r="W184">
        <f>IF(Table1[[#This Row],[guestroom]]= "yes", 1, 0)</f>
        <v>0</v>
      </c>
      <c r="X184">
        <f>IF(Table1[[#This Row],[basement]]="yes", 1, 0)</f>
        <v>0</v>
      </c>
      <c r="Y184">
        <f>IF(Table1[[#This Row],[hotwaterheating]]="yes", 1, 0)</f>
        <v>0</v>
      </c>
      <c r="Z184">
        <f>IF(Table1[[#This Row],[airconditioning]]="yes", 1, 0)</f>
        <v>1</v>
      </c>
      <c r="AA184">
        <v>0</v>
      </c>
      <c r="AB184">
        <f>IF(Table1[[#This Row],[prefarea]]= "yes", 1, 0)</f>
        <v>0</v>
      </c>
      <c r="AC184" s="1">
        <v>5145000</v>
      </c>
    </row>
    <row r="185" spans="1:29">
      <c r="A185">
        <v>7980</v>
      </c>
      <c r="B185" t="s">
        <v>16</v>
      </c>
      <c r="C185">
        <v>3</v>
      </c>
      <c r="D185">
        <v>1</v>
      </c>
      <c r="E185">
        <v>1</v>
      </c>
      <c r="F185" t="s">
        <v>13</v>
      </c>
      <c r="G185" t="s">
        <v>14</v>
      </c>
      <c r="H185" t="s">
        <v>14</v>
      </c>
      <c r="I185" t="s">
        <v>14</v>
      </c>
      <c r="J185" t="s">
        <v>14</v>
      </c>
      <c r="K185">
        <v>1</v>
      </c>
      <c r="L185" t="s">
        <v>13</v>
      </c>
      <c r="M185" s="1">
        <v>5145000</v>
      </c>
      <c r="P185">
        <v>7980</v>
      </c>
      <c r="Q185">
        <f>IF(Table1[[#This Row],[furnishingstatus]]="furnished", 1, 0)</f>
        <v>0</v>
      </c>
      <c r="R185">
        <f>IF(Table1[[#This Row],[furnishingstatus]]="semi-furnished", 1, 0)</f>
        <v>1</v>
      </c>
      <c r="S185">
        <v>3</v>
      </c>
      <c r="T185">
        <v>1</v>
      </c>
      <c r="U185">
        <v>1</v>
      </c>
      <c r="V185">
        <f>IF(Table1[[#This Row],[mainroad]] = "yes", 1, 0)</f>
        <v>1</v>
      </c>
      <c r="W185">
        <f>IF(Table1[[#This Row],[guestroom]]= "yes", 1, 0)</f>
        <v>0</v>
      </c>
      <c r="X185">
        <f>IF(Table1[[#This Row],[basement]]="yes", 1, 0)</f>
        <v>0</v>
      </c>
      <c r="Y185">
        <f>IF(Table1[[#This Row],[hotwaterheating]]="yes", 1, 0)</f>
        <v>0</v>
      </c>
      <c r="Z185">
        <f>IF(Table1[[#This Row],[airconditioning]]="yes", 1, 0)</f>
        <v>0</v>
      </c>
      <c r="AA185">
        <v>1</v>
      </c>
      <c r="AB185">
        <f>IF(Table1[[#This Row],[prefarea]]= "yes", 1, 0)</f>
        <v>1</v>
      </c>
      <c r="AC185" s="1">
        <v>5145000</v>
      </c>
    </row>
    <row r="186" spans="1:29">
      <c r="A186">
        <v>3000</v>
      </c>
      <c r="B186" t="s">
        <v>15</v>
      </c>
      <c r="C186">
        <v>3</v>
      </c>
      <c r="D186">
        <v>2</v>
      </c>
      <c r="E186">
        <v>2</v>
      </c>
      <c r="F186" t="s">
        <v>13</v>
      </c>
      <c r="G186" t="s">
        <v>13</v>
      </c>
      <c r="H186" t="s">
        <v>13</v>
      </c>
      <c r="I186" t="s">
        <v>14</v>
      </c>
      <c r="J186" t="s">
        <v>14</v>
      </c>
      <c r="K186">
        <v>0</v>
      </c>
      <c r="L186" t="s">
        <v>14</v>
      </c>
      <c r="M186" s="1">
        <v>5110000</v>
      </c>
      <c r="P186">
        <v>3000</v>
      </c>
      <c r="Q186">
        <f>IF(Table1[[#This Row],[furnishingstatus]]="furnished", 1, 0)</f>
        <v>1</v>
      </c>
      <c r="R186">
        <f>IF(Table1[[#This Row],[furnishingstatus]]="semi-furnished", 1, 0)</f>
        <v>0</v>
      </c>
      <c r="S186">
        <v>3</v>
      </c>
      <c r="T186">
        <v>2</v>
      </c>
      <c r="U186">
        <v>2</v>
      </c>
      <c r="V186">
        <f>IF(Table1[[#This Row],[mainroad]] = "yes", 1, 0)</f>
        <v>1</v>
      </c>
      <c r="W186">
        <f>IF(Table1[[#This Row],[guestroom]]= "yes", 1, 0)</f>
        <v>1</v>
      </c>
      <c r="X186">
        <f>IF(Table1[[#This Row],[basement]]="yes", 1, 0)</f>
        <v>1</v>
      </c>
      <c r="Y186">
        <f>IF(Table1[[#This Row],[hotwaterheating]]="yes", 1, 0)</f>
        <v>0</v>
      </c>
      <c r="Z186">
        <f>IF(Table1[[#This Row],[airconditioning]]="yes", 1, 0)</f>
        <v>0</v>
      </c>
      <c r="AA186">
        <v>0</v>
      </c>
      <c r="AB186">
        <f>IF(Table1[[#This Row],[prefarea]]= "yes", 1, 0)</f>
        <v>0</v>
      </c>
      <c r="AC186" s="1">
        <v>5110000</v>
      </c>
    </row>
    <row r="187" spans="1:29">
      <c r="A187">
        <v>3000</v>
      </c>
      <c r="B187" t="s">
        <v>17</v>
      </c>
      <c r="C187">
        <v>3</v>
      </c>
      <c r="D187">
        <v>1</v>
      </c>
      <c r="E187">
        <v>2</v>
      </c>
      <c r="F187" t="s">
        <v>13</v>
      </c>
      <c r="G187" t="s">
        <v>14</v>
      </c>
      <c r="H187" t="s">
        <v>13</v>
      </c>
      <c r="I187" t="s">
        <v>14</v>
      </c>
      <c r="J187" t="s">
        <v>14</v>
      </c>
      <c r="K187">
        <v>0</v>
      </c>
      <c r="L187" t="s">
        <v>14</v>
      </c>
      <c r="M187" s="1">
        <v>5110000</v>
      </c>
      <c r="P187">
        <v>3000</v>
      </c>
      <c r="Q187">
        <f>IF(Table1[[#This Row],[furnishingstatus]]="furnished", 1, 0)</f>
        <v>0</v>
      </c>
      <c r="R187">
        <f>IF(Table1[[#This Row],[furnishingstatus]]="semi-furnished", 1, 0)</f>
        <v>0</v>
      </c>
      <c r="S187">
        <v>3</v>
      </c>
      <c r="T187">
        <v>1</v>
      </c>
      <c r="U187">
        <v>2</v>
      </c>
      <c r="V187">
        <f>IF(Table1[[#This Row],[mainroad]] = "yes", 1, 0)</f>
        <v>1</v>
      </c>
      <c r="W187">
        <f>IF(Table1[[#This Row],[guestroom]]= "yes", 1, 0)</f>
        <v>0</v>
      </c>
      <c r="X187">
        <f>IF(Table1[[#This Row],[basement]]="yes", 1, 0)</f>
        <v>1</v>
      </c>
      <c r="Y187">
        <f>IF(Table1[[#This Row],[hotwaterheating]]="yes", 1, 0)</f>
        <v>0</v>
      </c>
      <c r="Z187">
        <f>IF(Table1[[#This Row],[airconditioning]]="yes", 1, 0)</f>
        <v>0</v>
      </c>
      <c r="AA187">
        <v>0</v>
      </c>
      <c r="AB187">
        <f>IF(Table1[[#This Row],[prefarea]]= "yes", 1, 0)</f>
        <v>0</v>
      </c>
      <c r="AC187" s="1">
        <v>5110000</v>
      </c>
    </row>
    <row r="188" spans="1:29">
      <c r="A188">
        <v>11410</v>
      </c>
      <c r="B188" t="s">
        <v>15</v>
      </c>
      <c r="C188">
        <v>2</v>
      </c>
      <c r="D188">
        <v>1</v>
      </c>
      <c r="E188">
        <v>2</v>
      </c>
      <c r="F188" t="s">
        <v>13</v>
      </c>
      <c r="G188" t="s">
        <v>14</v>
      </c>
      <c r="H188" t="s">
        <v>14</v>
      </c>
      <c r="I188" t="s">
        <v>14</v>
      </c>
      <c r="J188" t="s">
        <v>14</v>
      </c>
      <c r="K188">
        <v>0</v>
      </c>
      <c r="L188" t="s">
        <v>13</v>
      </c>
      <c r="M188" s="1">
        <v>5110000</v>
      </c>
      <c r="P188">
        <v>11410</v>
      </c>
      <c r="Q188">
        <f>IF(Table1[[#This Row],[furnishingstatus]]="furnished", 1, 0)</f>
        <v>1</v>
      </c>
      <c r="R188">
        <f>IF(Table1[[#This Row],[furnishingstatus]]="semi-furnished", 1, 0)</f>
        <v>0</v>
      </c>
      <c r="S188">
        <v>2</v>
      </c>
      <c r="T188">
        <v>1</v>
      </c>
      <c r="U188">
        <v>2</v>
      </c>
      <c r="V188">
        <f>IF(Table1[[#This Row],[mainroad]] = "yes", 1, 0)</f>
        <v>1</v>
      </c>
      <c r="W188">
        <f>IF(Table1[[#This Row],[guestroom]]= "yes", 1, 0)</f>
        <v>0</v>
      </c>
      <c r="X188">
        <f>IF(Table1[[#This Row],[basement]]="yes", 1, 0)</f>
        <v>0</v>
      </c>
      <c r="Y188">
        <f>IF(Table1[[#This Row],[hotwaterheating]]="yes", 1, 0)</f>
        <v>0</v>
      </c>
      <c r="Z188">
        <f>IF(Table1[[#This Row],[airconditioning]]="yes", 1, 0)</f>
        <v>0</v>
      </c>
      <c r="AA188">
        <v>0</v>
      </c>
      <c r="AB188">
        <f>IF(Table1[[#This Row],[prefarea]]= "yes", 1, 0)</f>
        <v>1</v>
      </c>
      <c r="AC188" s="1">
        <v>5110000</v>
      </c>
    </row>
    <row r="189" spans="1:29">
      <c r="A189">
        <v>6100</v>
      </c>
      <c r="B189" t="s">
        <v>16</v>
      </c>
      <c r="C189">
        <v>3</v>
      </c>
      <c r="D189">
        <v>1</v>
      </c>
      <c r="E189">
        <v>1</v>
      </c>
      <c r="F189" t="s">
        <v>13</v>
      </c>
      <c r="G189" t="s">
        <v>14</v>
      </c>
      <c r="H189" t="s">
        <v>13</v>
      </c>
      <c r="I189" t="s">
        <v>14</v>
      </c>
      <c r="J189" t="s">
        <v>13</v>
      </c>
      <c r="K189">
        <v>0</v>
      </c>
      <c r="L189" t="s">
        <v>13</v>
      </c>
      <c r="M189" s="1">
        <v>5110000</v>
      </c>
      <c r="P189">
        <v>6100</v>
      </c>
      <c r="Q189">
        <f>IF(Table1[[#This Row],[furnishingstatus]]="furnished", 1, 0)</f>
        <v>0</v>
      </c>
      <c r="R189">
        <f>IF(Table1[[#This Row],[furnishingstatus]]="semi-furnished", 1, 0)</f>
        <v>1</v>
      </c>
      <c r="S189">
        <v>3</v>
      </c>
      <c r="T189">
        <v>1</v>
      </c>
      <c r="U189">
        <v>1</v>
      </c>
      <c r="V189">
        <f>IF(Table1[[#This Row],[mainroad]] = "yes", 1, 0)</f>
        <v>1</v>
      </c>
      <c r="W189">
        <f>IF(Table1[[#This Row],[guestroom]]= "yes", 1, 0)</f>
        <v>0</v>
      </c>
      <c r="X189">
        <f>IF(Table1[[#This Row],[basement]]="yes", 1, 0)</f>
        <v>1</v>
      </c>
      <c r="Y189">
        <f>IF(Table1[[#This Row],[hotwaterheating]]="yes", 1, 0)</f>
        <v>0</v>
      </c>
      <c r="Z189">
        <f>IF(Table1[[#This Row],[airconditioning]]="yes", 1, 0)</f>
        <v>1</v>
      </c>
      <c r="AA189">
        <v>0</v>
      </c>
      <c r="AB189">
        <f>IF(Table1[[#This Row],[prefarea]]= "yes", 1, 0)</f>
        <v>1</v>
      </c>
      <c r="AC189" s="1">
        <v>5110000</v>
      </c>
    </row>
    <row r="190" spans="1:29">
      <c r="A190">
        <v>5720</v>
      </c>
      <c r="B190" t="s">
        <v>17</v>
      </c>
      <c r="C190">
        <v>2</v>
      </c>
      <c r="D190">
        <v>1</v>
      </c>
      <c r="E190">
        <v>2</v>
      </c>
      <c r="F190" t="s">
        <v>13</v>
      </c>
      <c r="G190" t="s">
        <v>14</v>
      </c>
      <c r="H190" t="s">
        <v>14</v>
      </c>
      <c r="I190" t="s">
        <v>14</v>
      </c>
      <c r="J190" t="s">
        <v>13</v>
      </c>
      <c r="K190">
        <v>0</v>
      </c>
      <c r="L190" t="s">
        <v>13</v>
      </c>
      <c r="M190" s="1">
        <v>5075000</v>
      </c>
      <c r="P190">
        <v>5720</v>
      </c>
      <c r="Q190">
        <f>IF(Table1[[#This Row],[furnishingstatus]]="furnished", 1, 0)</f>
        <v>0</v>
      </c>
      <c r="R190">
        <f>IF(Table1[[#This Row],[furnishingstatus]]="semi-furnished", 1, 0)</f>
        <v>0</v>
      </c>
      <c r="S190">
        <v>2</v>
      </c>
      <c r="T190">
        <v>1</v>
      </c>
      <c r="U190">
        <v>2</v>
      </c>
      <c r="V190">
        <f>IF(Table1[[#This Row],[mainroad]] = "yes", 1, 0)</f>
        <v>1</v>
      </c>
      <c r="W190">
        <f>IF(Table1[[#This Row],[guestroom]]= "yes", 1, 0)</f>
        <v>0</v>
      </c>
      <c r="X190">
        <f>IF(Table1[[#This Row],[basement]]="yes", 1, 0)</f>
        <v>0</v>
      </c>
      <c r="Y190">
        <f>IF(Table1[[#This Row],[hotwaterheating]]="yes", 1, 0)</f>
        <v>0</v>
      </c>
      <c r="Z190">
        <f>IF(Table1[[#This Row],[airconditioning]]="yes", 1, 0)</f>
        <v>1</v>
      </c>
      <c r="AA190">
        <v>0</v>
      </c>
      <c r="AB190">
        <f>IF(Table1[[#This Row],[prefarea]]= "yes", 1, 0)</f>
        <v>1</v>
      </c>
      <c r="AC190" s="1">
        <v>5075000</v>
      </c>
    </row>
    <row r="191" spans="1:29">
      <c r="A191">
        <v>3540</v>
      </c>
      <c r="B191" t="s">
        <v>16</v>
      </c>
      <c r="C191">
        <v>2</v>
      </c>
      <c r="D191">
        <v>1</v>
      </c>
      <c r="E191">
        <v>1</v>
      </c>
      <c r="F191" t="s">
        <v>14</v>
      </c>
      <c r="G191" t="s">
        <v>13</v>
      </c>
      <c r="H191" t="s">
        <v>13</v>
      </c>
      <c r="I191" t="s">
        <v>14</v>
      </c>
      <c r="J191" t="s">
        <v>14</v>
      </c>
      <c r="K191">
        <v>0</v>
      </c>
      <c r="L191" t="s">
        <v>14</v>
      </c>
      <c r="M191" s="1">
        <v>5040000</v>
      </c>
      <c r="P191">
        <v>3540</v>
      </c>
      <c r="Q191">
        <f>IF(Table1[[#This Row],[furnishingstatus]]="furnished", 1, 0)</f>
        <v>0</v>
      </c>
      <c r="R191">
        <f>IF(Table1[[#This Row],[furnishingstatus]]="semi-furnished", 1, 0)</f>
        <v>1</v>
      </c>
      <c r="S191">
        <v>2</v>
      </c>
      <c r="T191">
        <v>1</v>
      </c>
      <c r="U191">
        <v>1</v>
      </c>
      <c r="V191">
        <f>IF(Table1[[#This Row],[mainroad]] = "yes", 1, 0)</f>
        <v>0</v>
      </c>
      <c r="W191">
        <f>IF(Table1[[#This Row],[guestroom]]= "yes", 1, 0)</f>
        <v>1</v>
      </c>
      <c r="X191">
        <f>IF(Table1[[#This Row],[basement]]="yes", 1, 0)</f>
        <v>1</v>
      </c>
      <c r="Y191">
        <f>IF(Table1[[#This Row],[hotwaterheating]]="yes", 1, 0)</f>
        <v>0</v>
      </c>
      <c r="Z191">
        <f>IF(Table1[[#This Row],[airconditioning]]="yes", 1, 0)</f>
        <v>0</v>
      </c>
      <c r="AA191">
        <v>0</v>
      </c>
      <c r="AB191">
        <f>IF(Table1[[#This Row],[prefarea]]= "yes", 1, 0)</f>
        <v>0</v>
      </c>
      <c r="AC191" s="1">
        <v>5040000</v>
      </c>
    </row>
    <row r="192" spans="1:29">
      <c r="A192">
        <v>7600</v>
      </c>
      <c r="B192" t="s">
        <v>15</v>
      </c>
      <c r="C192">
        <v>4</v>
      </c>
      <c r="D192">
        <v>1</v>
      </c>
      <c r="E192">
        <v>2</v>
      </c>
      <c r="F192" t="s">
        <v>13</v>
      </c>
      <c r="G192" t="s">
        <v>14</v>
      </c>
      <c r="H192" t="s">
        <v>14</v>
      </c>
      <c r="I192" t="s">
        <v>14</v>
      </c>
      <c r="J192" t="s">
        <v>13</v>
      </c>
      <c r="K192">
        <v>2</v>
      </c>
      <c r="L192" t="s">
        <v>14</v>
      </c>
      <c r="M192" s="1">
        <v>5040000</v>
      </c>
      <c r="P192">
        <v>7600</v>
      </c>
      <c r="Q192">
        <f>IF(Table1[[#This Row],[furnishingstatus]]="furnished", 1, 0)</f>
        <v>1</v>
      </c>
      <c r="R192">
        <f>IF(Table1[[#This Row],[furnishingstatus]]="semi-furnished", 1, 0)</f>
        <v>0</v>
      </c>
      <c r="S192">
        <v>4</v>
      </c>
      <c r="T192">
        <v>1</v>
      </c>
      <c r="U192">
        <v>2</v>
      </c>
      <c r="V192">
        <f>IF(Table1[[#This Row],[mainroad]] = "yes", 1, 0)</f>
        <v>1</v>
      </c>
      <c r="W192">
        <f>IF(Table1[[#This Row],[guestroom]]= "yes", 1, 0)</f>
        <v>0</v>
      </c>
      <c r="X192">
        <f>IF(Table1[[#This Row],[basement]]="yes", 1, 0)</f>
        <v>0</v>
      </c>
      <c r="Y192">
        <f>IF(Table1[[#This Row],[hotwaterheating]]="yes", 1, 0)</f>
        <v>0</v>
      </c>
      <c r="Z192">
        <f>IF(Table1[[#This Row],[airconditioning]]="yes", 1, 0)</f>
        <v>1</v>
      </c>
      <c r="AA192">
        <v>2</v>
      </c>
      <c r="AB192">
        <f>IF(Table1[[#This Row],[prefarea]]= "yes", 1, 0)</f>
        <v>0</v>
      </c>
      <c r="AC192" s="1">
        <v>5040000</v>
      </c>
    </row>
    <row r="193" spans="1:29">
      <c r="A193">
        <v>10700</v>
      </c>
      <c r="B193" t="s">
        <v>16</v>
      </c>
      <c r="C193">
        <v>3</v>
      </c>
      <c r="D193">
        <v>1</v>
      </c>
      <c r="E193">
        <v>2</v>
      </c>
      <c r="F193" t="s">
        <v>13</v>
      </c>
      <c r="G193" t="s">
        <v>13</v>
      </c>
      <c r="H193" t="s">
        <v>13</v>
      </c>
      <c r="I193" t="s">
        <v>14</v>
      </c>
      <c r="J193" t="s">
        <v>14</v>
      </c>
      <c r="K193">
        <v>0</v>
      </c>
      <c r="L193" t="s">
        <v>14</v>
      </c>
      <c r="M193" s="1">
        <v>5040000</v>
      </c>
      <c r="P193">
        <v>10700</v>
      </c>
      <c r="Q193">
        <f>IF(Table1[[#This Row],[furnishingstatus]]="furnished", 1, 0)</f>
        <v>0</v>
      </c>
      <c r="R193">
        <f>IF(Table1[[#This Row],[furnishingstatus]]="semi-furnished", 1, 0)</f>
        <v>1</v>
      </c>
      <c r="S193">
        <v>3</v>
      </c>
      <c r="T193">
        <v>1</v>
      </c>
      <c r="U193">
        <v>2</v>
      </c>
      <c r="V193">
        <f>IF(Table1[[#This Row],[mainroad]] = "yes", 1, 0)</f>
        <v>1</v>
      </c>
      <c r="W193">
        <f>IF(Table1[[#This Row],[guestroom]]= "yes", 1, 0)</f>
        <v>1</v>
      </c>
      <c r="X193">
        <f>IF(Table1[[#This Row],[basement]]="yes", 1, 0)</f>
        <v>1</v>
      </c>
      <c r="Y193">
        <f>IF(Table1[[#This Row],[hotwaterheating]]="yes", 1, 0)</f>
        <v>0</v>
      </c>
      <c r="Z193">
        <f>IF(Table1[[#This Row],[airconditioning]]="yes", 1, 0)</f>
        <v>0</v>
      </c>
      <c r="AA193">
        <v>0</v>
      </c>
      <c r="AB193">
        <f>IF(Table1[[#This Row],[prefarea]]= "yes", 1, 0)</f>
        <v>0</v>
      </c>
      <c r="AC193" s="1">
        <v>5040000</v>
      </c>
    </row>
    <row r="194" spans="1:29">
      <c r="A194">
        <v>6600</v>
      </c>
      <c r="B194" t="s">
        <v>15</v>
      </c>
      <c r="C194">
        <v>3</v>
      </c>
      <c r="D194">
        <v>1</v>
      </c>
      <c r="E194">
        <v>1</v>
      </c>
      <c r="F194" t="s">
        <v>13</v>
      </c>
      <c r="G194" t="s">
        <v>13</v>
      </c>
      <c r="H194" t="s">
        <v>13</v>
      </c>
      <c r="I194" t="s">
        <v>14</v>
      </c>
      <c r="J194" t="s">
        <v>14</v>
      </c>
      <c r="K194">
        <v>0</v>
      </c>
      <c r="L194" t="s">
        <v>13</v>
      </c>
      <c r="M194" s="1">
        <v>5040000</v>
      </c>
      <c r="P194">
        <v>6600</v>
      </c>
      <c r="Q194">
        <f>IF(Table1[[#This Row],[furnishingstatus]]="furnished", 1, 0)</f>
        <v>1</v>
      </c>
      <c r="R194">
        <f>IF(Table1[[#This Row],[furnishingstatus]]="semi-furnished", 1, 0)</f>
        <v>0</v>
      </c>
      <c r="S194">
        <v>3</v>
      </c>
      <c r="T194">
        <v>1</v>
      </c>
      <c r="U194">
        <v>1</v>
      </c>
      <c r="V194">
        <f>IF(Table1[[#This Row],[mainroad]] = "yes", 1, 0)</f>
        <v>1</v>
      </c>
      <c r="W194">
        <f>IF(Table1[[#This Row],[guestroom]]= "yes", 1, 0)</f>
        <v>1</v>
      </c>
      <c r="X194">
        <f>IF(Table1[[#This Row],[basement]]="yes", 1, 0)</f>
        <v>1</v>
      </c>
      <c r="Y194">
        <f>IF(Table1[[#This Row],[hotwaterheating]]="yes", 1, 0)</f>
        <v>0</v>
      </c>
      <c r="Z194">
        <f>IF(Table1[[#This Row],[airconditioning]]="yes", 1, 0)</f>
        <v>0</v>
      </c>
      <c r="AA194">
        <v>0</v>
      </c>
      <c r="AB194">
        <f>IF(Table1[[#This Row],[prefarea]]= "yes", 1, 0)</f>
        <v>1</v>
      </c>
      <c r="AC194" s="1">
        <v>5040000</v>
      </c>
    </row>
    <row r="195" spans="1:29">
      <c r="A195">
        <v>4800</v>
      </c>
      <c r="B195" t="s">
        <v>16</v>
      </c>
      <c r="C195">
        <v>2</v>
      </c>
      <c r="D195">
        <v>1</v>
      </c>
      <c r="E195">
        <v>1</v>
      </c>
      <c r="F195" t="s">
        <v>13</v>
      </c>
      <c r="G195" t="s">
        <v>13</v>
      </c>
      <c r="H195" t="s">
        <v>13</v>
      </c>
      <c r="I195" t="s">
        <v>14</v>
      </c>
      <c r="J195" t="s">
        <v>14</v>
      </c>
      <c r="K195">
        <v>0</v>
      </c>
      <c r="L195" t="s">
        <v>14</v>
      </c>
      <c r="M195" s="1">
        <v>5033000</v>
      </c>
      <c r="P195">
        <v>4800</v>
      </c>
      <c r="Q195">
        <f>IF(Table1[[#This Row],[furnishingstatus]]="furnished", 1, 0)</f>
        <v>0</v>
      </c>
      <c r="R195">
        <f>IF(Table1[[#This Row],[furnishingstatus]]="semi-furnished", 1, 0)</f>
        <v>1</v>
      </c>
      <c r="S195">
        <v>2</v>
      </c>
      <c r="T195">
        <v>1</v>
      </c>
      <c r="U195">
        <v>1</v>
      </c>
      <c r="V195">
        <f>IF(Table1[[#This Row],[mainroad]] = "yes", 1, 0)</f>
        <v>1</v>
      </c>
      <c r="W195">
        <f>IF(Table1[[#This Row],[guestroom]]= "yes", 1, 0)</f>
        <v>1</v>
      </c>
      <c r="X195">
        <f>IF(Table1[[#This Row],[basement]]="yes", 1, 0)</f>
        <v>1</v>
      </c>
      <c r="Y195">
        <f>IF(Table1[[#This Row],[hotwaterheating]]="yes", 1, 0)</f>
        <v>0</v>
      </c>
      <c r="Z195">
        <f>IF(Table1[[#This Row],[airconditioning]]="yes", 1, 0)</f>
        <v>0</v>
      </c>
      <c r="AA195">
        <v>0</v>
      </c>
      <c r="AB195">
        <f>IF(Table1[[#This Row],[prefarea]]= "yes", 1, 0)</f>
        <v>0</v>
      </c>
      <c r="AC195" s="1">
        <v>5033000</v>
      </c>
    </row>
    <row r="196" spans="1:29">
      <c r="A196">
        <v>8150</v>
      </c>
      <c r="B196" t="s">
        <v>16</v>
      </c>
      <c r="C196">
        <v>3</v>
      </c>
      <c r="D196">
        <v>2</v>
      </c>
      <c r="E196">
        <v>1</v>
      </c>
      <c r="F196" t="s">
        <v>13</v>
      </c>
      <c r="G196" t="s">
        <v>13</v>
      </c>
      <c r="H196" t="s">
        <v>13</v>
      </c>
      <c r="I196" t="s">
        <v>14</v>
      </c>
      <c r="J196" t="s">
        <v>14</v>
      </c>
      <c r="K196">
        <v>0</v>
      </c>
      <c r="L196" t="s">
        <v>14</v>
      </c>
      <c r="M196" s="1">
        <v>5005000</v>
      </c>
      <c r="P196">
        <v>8150</v>
      </c>
      <c r="Q196">
        <f>IF(Table1[[#This Row],[furnishingstatus]]="furnished", 1, 0)</f>
        <v>0</v>
      </c>
      <c r="R196">
        <f>IF(Table1[[#This Row],[furnishingstatus]]="semi-furnished", 1, 0)</f>
        <v>1</v>
      </c>
      <c r="S196">
        <v>3</v>
      </c>
      <c r="T196">
        <v>2</v>
      </c>
      <c r="U196">
        <v>1</v>
      </c>
      <c r="V196">
        <f>IF(Table1[[#This Row],[mainroad]] = "yes", 1, 0)</f>
        <v>1</v>
      </c>
      <c r="W196">
        <f>IF(Table1[[#This Row],[guestroom]]= "yes", 1, 0)</f>
        <v>1</v>
      </c>
      <c r="X196">
        <f>IF(Table1[[#This Row],[basement]]="yes", 1, 0)</f>
        <v>1</v>
      </c>
      <c r="Y196">
        <f>IF(Table1[[#This Row],[hotwaterheating]]="yes", 1, 0)</f>
        <v>0</v>
      </c>
      <c r="Z196">
        <f>IF(Table1[[#This Row],[airconditioning]]="yes", 1, 0)</f>
        <v>0</v>
      </c>
      <c r="AA196">
        <v>0</v>
      </c>
      <c r="AB196">
        <f>IF(Table1[[#This Row],[prefarea]]= "yes", 1, 0)</f>
        <v>0</v>
      </c>
      <c r="AC196" s="1">
        <v>5005000</v>
      </c>
    </row>
    <row r="197" spans="1:29">
      <c r="A197">
        <v>4410</v>
      </c>
      <c r="B197" t="s">
        <v>16</v>
      </c>
      <c r="C197">
        <v>4</v>
      </c>
      <c r="D197">
        <v>3</v>
      </c>
      <c r="E197">
        <v>2</v>
      </c>
      <c r="F197" t="s">
        <v>13</v>
      </c>
      <c r="G197" t="s">
        <v>14</v>
      </c>
      <c r="H197" t="s">
        <v>13</v>
      </c>
      <c r="I197" t="s">
        <v>14</v>
      </c>
      <c r="J197" t="s">
        <v>14</v>
      </c>
      <c r="K197">
        <v>2</v>
      </c>
      <c r="L197" t="s">
        <v>14</v>
      </c>
      <c r="M197" s="1">
        <v>4970000</v>
      </c>
      <c r="P197">
        <v>4410</v>
      </c>
      <c r="Q197">
        <f>IF(Table1[[#This Row],[furnishingstatus]]="furnished", 1, 0)</f>
        <v>0</v>
      </c>
      <c r="R197">
        <f>IF(Table1[[#This Row],[furnishingstatus]]="semi-furnished", 1, 0)</f>
        <v>1</v>
      </c>
      <c r="S197">
        <v>4</v>
      </c>
      <c r="T197">
        <v>3</v>
      </c>
      <c r="U197">
        <v>2</v>
      </c>
      <c r="V197">
        <f>IF(Table1[[#This Row],[mainroad]] = "yes", 1, 0)</f>
        <v>1</v>
      </c>
      <c r="W197">
        <f>IF(Table1[[#This Row],[guestroom]]= "yes", 1, 0)</f>
        <v>0</v>
      </c>
      <c r="X197">
        <f>IF(Table1[[#This Row],[basement]]="yes", 1, 0)</f>
        <v>1</v>
      </c>
      <c r="Y197">
        <f>IF(Table1[[#This Row],[hotwaterheating]]="yes", 1, 0)</f>
        <v>0</v>
      </c>
      <c r="Z197">
        <f>IF(Table1[[#This Row],[airconditioning]]="yes", 1, 0)</f>
        <v>0</v>
      </c>
      <c r="AA197">
        <v>2</v>
      </c>
      <c r="AB197">
        <f>IF(Table1[[#This Row],[prefarea]]= "yes", 1, 0)</f>
        <v>0</v>
      </c>
      <c r="AC197" s="1">
        <v>4970000</v>
      </c>
    </row>
    <row r="198" spans="1:29">
      <c r="A198">
        <v>7686</v>
      </c>
      <c r="B198" t="s">
        <v>16</v>
      </c>
      <c r="C198">
        <v>3</v>
      </c>
      <c r="D198">
        <v>1</v>
      </c>
      <c r="E198">
        <v>1</v>
      </c>
      <c r="F198" t="s">
        <v>13</v>
      </c>
      <c r="G198" t="s">
        <v>13</v>
      </c>
      <c r="H198" t="s">
        <v>13</v>
      </c>
      <c r="I198" t="s">
        <v>13</v>
      </c>
      <c r="J198" t="s">
        <v>14</v>
      </c>
      <c r="K198">
        <v>0</v>
      </c>
      <c r="L198" t="s">
        <v>14</v>
      </c>
      <c r="M198" s="1">
        <v>4970000</v>
      </c>
      <c r="P198">
        <v>7686</v>
      </c>
      <c r="Q198">
        <f>IF(Table1[[#This Row],[furnishingstatus]]="furnished", 1, 0)</f>
        <v>0</v>
      </c>
      <c r="R198">
        <f>IF(Table1[[#This Row],[furnishingstatus]]="semi-furnished", 1, 0)</f>
        <v>1</v>
      </c>
      <c r="S198">
        <v>3</v>
      </c>
      <c r="T198">
        <v>1</v>
      </c>
      <c r="U198">
        <v>1</v>
      </c>
      <c r="V198">
        <f>IF(Table1[[#This Row],[mainroad]] = "yes", 1, 0)</f>
        <v>1</v>
      </c>
      <c r="W198">
        <f>IF(Table1[[#This Row],[guestroom]]= "yes", 1, 0)</f>
        <v>1</v>
      </c>
      <c r="X198">
        <f>IF(Table1[[#This Row],[basement]]="yes", 1, 0)</f>
        <v>1</v>
      </c>
      <c r="Y198">
        <f>IF(Table1[[#This Row],[hotwaterheating]]="yes", 1, 0)</f>
        <v>1</v>
      </c>
      <c r="Z198">
        <f>IF(Table1[[#This Row],[airconditioning]]="yes", 1, 0)</f>
        <v>0</v>
      </c>
      <c r="AA198">
        <v>0</v>
      </c>
      <c r="AB198">
        <f>IF(Table1[[#This Row],[prefarea]]= "yes", 1, 0)</f>
        <v>0</v>
      </c>
      <c r="AC198" s="1">
        <v>4970000</v>
      </c>
    </row>
    <row r="199" spans="1:29">
      <c r="A199">
        <v>2800</v>
      </c>
      <c r="B199" t="s">
        <v>16</v>
      </c>
      <c r="C199">
        <v>3</v>
      </c>
      <c r="D199">
        <v>2</v>
      </c>
      <c r="E199">
        <v>2</v>
      </c>
      <c r="F199" t="s">
        <v>14</v>
      </c>
      <c r="G199" t="s">
        <v>14</v>
      </c>
      <c r="H199" t="s">
        <v>13</v>
      </c>
      <c r="I199" t="s">
        <v>14</v>
      </c>
      <c r="J199" t="s">
        <v>13</v>
      </c>
      <c r="K199">
        <v>1</v>
      </c>
      <c r="L199" t="s">
        <v>14</v>
      </c>
      <c r="M199" s="1">
        <v>4956000</v>
      </c>
      <c r="P199">
        <v>2800</v>
      </c>
      <c r="Q199">
        <f>IF(Table1[[#This Row],[furnishingstatus]]="furnished", 1, 0)</f>
        <v>0</v>
      </c>
      <c r="R199">
        <f>IF(Table1[[#This Row],[furnishingstatus]]="semi-furnished", 1, 0)</f>
        <v>1</v>
      </c>
      <c r="S199">
        <v>3</v>
      </c>
      <c r="T199">
        <v>2</v>
      </c>
      <c r="U199">
        <v>2</v>
      </c>
      <c r="V199">
        <f>IF(Table1[[#This Row],[mainroad]] = "yes", 1, 0)</f>
        <v>0</v>
      </c>
      <c r="W199">
        <f>IF(Table1[[#This Row],[guestroom]]= "yes", 1, 0)</f>
        <v>0</v>
      </c>
      <c r="X199">
        <f>IF(Table1[[#This Row],[basement]]="yes", 1, 0)</f>
        <v>1</v>
      </c>
      <c r="Y199">
        <f>IF(Table1[[#This Row],[hotwaterheating]]="yes", 1, 0)</f>
        <v>0</v>
      </c>
      <c r="Z199">
        <f>IF(Table1[[#This Row],[airconditioning]]="yes", 1, 0)</f>
        <v>1</v>
      </c>
      <c r="AA199">
        <v>1</v>
      </c>
      <c r="AB199">
        <f>IF(Table1[[#This Row],[prefarea]]= "yes", 1, 0)</f>
        <v>0</v>
      </c>
      <c r="AC199" s="1">
        <v>4956000</v>
      </c>
    </row>
    <row r="200" spans="1:29">
      <c r="A200">
        <v>5948</v>
      </c>
      <c r="B200" t="s">
        <v>16</v>
      </c>
      <c r="C200">
        <v>3</v>
      </c>
      <c r="D200">
        <v>1</v>
      </c>
      <c r="E200">
        <v>2</v>
      </c>
      <c r="F200" t="s">
        <v>13</v>
      </c>
      <c r="G200" t="s">
        <v>14</v>
      </c>
      <c r="H200" t="s">
        <v>14</v>
      </c>
      <c r="I200" t="s">
        <v>14</v>
      </c>
      <c r="J200" t="s">
        <v>13</v>
      </c>
      <c r="K200">
        <v>0</v>
      </c>
      <c r="L200" t="s">
        <v>14</v>
      </c>
      <c r="M200" s="1">
        <v>4935000</v>
      </c>
      <c r="P200">
        <v>5948</v>
      </c>
      <c r="Q200">
        <f>IF(Table1[[#This Row],[furnishingstatus]]="furnished", 1, 0)</f>
        <v>0</v>
      </c>
      <c r="R200">
        <f>IF(Table1[[#This Row],[furnishingstatus]]="semi-furnished", 1, 0)</f>
        <v>1</v>
      </c>
      <c r="S200">
        <v>3</v>
      </c>
      <c r="T200">
        <v>1</v>
      </c>
      <c r="U200">
        <v>2</v>
      </c>
      <c r="V200">
        <f>IF(Table1[[#This Row],[mainroad]] = "yes", 1, 0)</f>
        <v>1</v>
      </c>
      <c r="W200">
        <f>IF(Table1[[#This Row],[guestroom]]= "yes", 1, 0)</f>
        <v>0</v>
      </c>
      <c r="X200">
        <f>IF(Table1[[#This Row],[basement]]="yes", 1, 0)</f>
        <v>0</v>
      </c>
      <c r="Y200">
        <f>IF(Table1[[#This Row],[hotwaterheating]]="yes", 1, 0)</f>
        <v>0</v>
      </c>
      <c r="Z200">
        <f>IF(Table1[[#This Row],[airconditioning]]="yes", 1, 0)</f>
        <v>1</v>
      </c>
      <c r="AA200">
        <v>0</v>
      </c>
      <c r="AB200">
        <f>IF(Table1[[#This Row],[prefarea]]= "yes", 1, 0)</f>
        <v>0</v>
      </c>
      <c r="AC200" s="1">
        <v>4935000</v>
      </c>
    </row>
    <row r="201" spans="1:29">
      <c r="A201">
        <v>4200</v>
      </c>
      <c r="B201" t="s">
        <v>15</v>
      </c>
      <c r="C201">
        <v>3</v>
      </c>
      <c r="D201">
        <v>1</v>
      </c>
      <c r="E201">
        <v>2</v>
      </c>
      <c r="F201" t="s">
        <v>13</v>
      </c>
      <c r="G201" t="s">
        <v>14</v>
      </c>
      <c r="H201" t="s">
        <v>14</v>
      </c>
      <c r="I201" t="s">
        <v>14</v>
      </c>
      <c r="J201" t="s">
        <v>14</v>
      </c>
      <c r="K201">
        <v>1</v>
      </c>
      <c r="L201" t="s">
        <v>14</v>
      </c>
      <c r="M201" s="1">
        <v>4907000</v>
      </c>
      <c r="P201">
        <v>4200</v>
      </c>
      <c r="Q201">
        <f>IF(Table1[[#This Row],[furnishingstatus]]="furnished", 1, 0)</f>
        <v>1</v>
      </c>
      <c r="R201">
        <f>IF(Table1[[#This Row],[furnishingstatus]]="semi-furnished", 1, 0)</f>
        <v>0</v>
      </c>
      <c r="S201">
        <v>3</v>
      </c>
      <c r="T201">
        <v>1</v>
      </c>
      <c r="U201">
        <v>2</v>
      </c>
      <c r="V201">
        <f>IF(Table1[[#This Row],[mainroad]] = "yes", 1, 0)</f>
        <v>1</v>
      </c>
      <c r="W201">
        <f>IF(Table1[[#This Row],[guestroom]]= "yes", 1, 0)</f>
        <v>0</v>
      </c>
      <c r="X201">
        <f>IF(Table1[[#This Row],[basement]]="yes", 1, 0)</f>
        <v>0</v>
      </c>
      <c r="Y201">
        <f>IF(Table1[[#This Row],[hotwaterheating]]="yes", 1, 0)</f>
        <v>0</v>
      </c>
      <c r="Z201">
        <f>IF(Table1[[#This Row],[airconditioning]]="yes", 1, 0)</f>
        <v>0</v>
      </c>
      <c r="AA201">
        <v>1</v>
      </c>
      <c r="AB201">
        <f>IF(Table1[[#This Row],[prefarea]]= "yes", 1, 0)</f>
        <v>0</v>
      </c>
      <c r="AC201" s="1">
        <v>4907000</v>
      </c>
    </row>
    <row r="202" spans="1:29">
      <c r="A202">
        <v>4520</v>
      </c>
      <c r="B202" t="s">
        <v>16</v>
      </c>
      <c r="C202">
        <v>3</v>
      </c>
      <c r="D202">
        <v>1</v>
      </c>
      <c r="E202">
        <v>2</v>
      </c>
      <c r="F202" t="s">
        <v>13</v>
      </c>
      <c r="G202" t="s">
        <v>14</v>
      </c>
      <c r="H202" t="s">
        <v>13</v>
      </c>
      <c r="I202" t="s">
        <v>14</v>
      </c>
      <c r="J202" t="s">
        <v>13</v>
      </c>
      <c r="K202">
        <v>0</v>
      </c>
      <c r="L202" t="s">
        <v>14</v>
      </c>
      <c r="M202" s="1">
        <v>4900000</v>
      </c>
      <c r="P202">
        <v>4520</v>
      </c>
      <c r="Q202">
        <f>IF(Table1[[#This Row],[furnishingstatus]]="furnished", 1, 0)</f>
        <v>0</v>
      </c>
      <c r="R202">
        <f>IF(Table1[[#This Row],[furnishingstatus]]="semi-furnished", 1, 0)</f>
        <v>1</v>
      </c>
      <c r="S202">
        <v>3</v>
      </c>
      <c r="T202">
        <v>1</v>
      </c>
      <c r="U202">
        <v>2</v>
      </c>
      <c r="V202">
        <f>IF(Table1[[#This Row],[mainroad]] = "yes", 1, 0)</f>
        <v>1</v>
      </c>
      <c r="W202">
        <f>IF(Table1[[#This Row],[guestroom]]= "yes", 1, 0)</f>
        <v>0</v>
      </c>
      <c r="X202">
        <f>IF(Table1[[#This Row],[basement]]="yes", 1, 0)</f>
        <v>1</v>
      </c>
      <c r="Y202">
        <f>IF(Table1[[#This Row],[hotwaterheating]]="yes", 1, 0)</f>
        <v>0</v>
      </c>
      <c r="Z202">
        <f>IF(Table1[[#This Row],[airconditioning]]="yes", 1, 0)</f>
        <v>1</v>
      </c>
      <c r="AA202">
        <v>0</v>
      </c>
      <c r="AB202">
        <f>IF(Table1[[#This Row],[prefarea]]= "yes", 1, 0)</f>
        <v>0</v>
      </c>
      <c r="AC202" s="1">
        <v>4900000</v>
      </c>
    </row>
    <row r="203" spans="1:29">
      <c r="A203">
        <v>4095</v>
      </c>
      <c r="B203" t="s">
        <v>16</v>
      </c>
      <c r="C203">
        <v>3</v>
      </c>
      <c r="D203">
        <v>1</v>
      </c>
      <c r="E203">
        <v>2</v>
      </c>
      <c r="F203" t="s">
        <v>14</v>
      </c>
      <c r="G203" t="s">
        <v>13</v>
      </c>
      <c r="H203" t="s">
        <v>13</v>
      </c>
      <c r="I203" t="s">
        <v>14</v>
      </c>
      <c r="J203" t="s">
        <v>13</v>
      </c>
      <c r="K203">
        <v>0</v>
      </c>
      <c r="L203" t="s">
        <v>14</v>
      </c>
      <c r="M203" s="1">
        <v>4900000</v>
      </c>
      <c r="P203">
        <v>4095</v>
      </c>
      <c r="Q203">
        <f>IF(Table1[[#This Row],[furnishingstatus]]="furnished", 1, 0)</f>
        <v>0</v>
      </c>
      <c r="R203">
        <f>IF(Table1[[#This Row],[furnishingstatus]]="semi-furnished", 1, 0)</f>
        <v>1</v>
      </c>
      <c r="S203">
        <v>3</v>
      </c>
      <c r="T203">
        <v>1</v>
      </c>
      <c r="U203">
        <v>2</v>
      </c>
      <c r="V203">
        <f>IF(Table1[[#This Row],[mainroad]] = "yes", 1, 0)</f>
        <v>0</v>
      </c>
      <c r="W203">
        <f>IF(Table1[[#This Row],[guestroom]]= "yes", 1, 0)</f>
        <v>1</v>
      </c>
      <c r="X203">
        <f>IF(Table1[[#This Row],[basement]]="yes", 1, 0)</f>
        <v>1</v>
      </c>
      <c r="Y203">
        <f>IF(Table1[[#This Row],[hotwaterheating]]="yes", 1, 0)</f>
        <v>0</v>
      </c>
      <c r="Z203">
        <f>IF(Table1[[#This Row],[airconditioning]]="yes", 1, 0)</f>
        <v>1</v>
      </c>
      <c r="AA203">
        <v>0</v>
      </c>
      <c r="AB203">
        <f>IF(Table1[[#This Row],[prefarea]]= "yes", 1, 0)</f>
        <v>0</v>
      </c>
      <c r="AC203" s="1">
        <v>4900000</v>
      </c>
    </row>
    <row r="204" spans="1:29">
      <c r="A204">
        <v>4120</v>
      </c>
      <c r="B204" t="s">
        <v>16</v>
      </c>
      <c r="C204">
        <v>2</v>
      </c>
      <c r="D204">
        <v>1</v>
      </c>
      <c r="E204">
        <v>1</v>
      </c>
      <c r="F204" t="s">
        <v>13</v>
      </c>
      <c r="G204" t="s">
        <v>14</v>
      </c>
      <c r="H204" t="s">
        <v>13</v>
      </c>
      <c r="I204" t="s">
        <v>14</v>
      </c>
      <c r="J204" t="s">
        <v>14</v>
      </c>
      <c r="K204">
        <v>1</v>
      </c>
      <c r="L204" t="s">
        <v>14</v>
      </c>
      <c r="M204" s="1">
        <v>4900000</v>
      </c>
      <c r="P204">
        <v>4120</v>
      </c>
      <c r="Q204">
        <f>IF(Table1[[#This Row],[furnishingstatus]]="furnished", 1, 0)</f>
        <v>0</v>
      </c>
      <c r="R204">
        <f>IF(Table1[[#This Row],[furnishingstatus]]="semi-furnished", 1, 0)</f>
        <v>1</v>
      </c>
      <c r="S204">
        <v>2</v>
      </c>
      <c r="T204">
        <v>1</v>
      </c>
      <c r="U204">
        <v>1</v>
      </c>
      <c r="V204">
        <f>IF(Table1[[#This Row],[mainroad]] = "yes", 1, 0)</f>
        <v>1</v>
      </c>
      <c r="W204">
        <f>IF(Table1[[#This Row],[guestroom]]= "yes", 1, 0)</f>
        <v>0</v>
      </c>
      <c r="X204">
        <f>IF(Table1[[#This Row],[basement]]="yes", 1, 0)</f>
        <v>1</v>
      </c>
      <c r="Y204">
        <f>IF(Table1[[#This Row],[hotwaterheating]]="yes", 1, 0)</f>
        <v>0</v>
      </c>
      <c r="Z204">
        <f>IF(Table1[[#This Row],[airconditioning]]="yes", 1, 0)</f>
        <v>0</v>
      </c>
      <c r="AA204">
        <v>1</v>
      </c>
      <c r="AB204">
        <f>IF(Table1[[#This Row],[prefarea]]= "yes", 1, 0)</f>
        <v>0</v>
      </c>
      <c r="AC204" s="1">
        <v>4900000</v>
      </c>
    </row>
    <row r="205" spans="1:29">
      <c r="A205">
        <v>5400</v>
      </c>
      <c r="B205" t="s">
        <v>16</v>
      </c>
      <c r="C205">
        <v>4</v>
      </c>
      <c r="D205">
        <v>1</v>
      </c>
      <c r="E205">
        <v>2</v>
      </c>
      <c r="F205" t="s">
        <v>13</v>
      </c>
      <c r="G205" t="s">
        <v>14</v>
      </c>
      <c r="H205" t="s">
        <v>14</v>
      </c>
      <c r="I205" t="s">
        <v>14</v>
      </c>
      <c r="J205" t="s">
        <v>14</v>
      </c>
      <c r="K205">
        <v>0</v>
      </c>
      <c r="L205" t="s">
        <v>14</v>
      </c>
      <c r="M205" s="1">
        <v>4900000</v>
      </c>
      <c r="P205">
        <v>5400</v>
      </c>
      <c r="Q205">
        <f>IF(Table1[[#This Row],[furnishingstatus]]="furnished", 1, 0)</f>
        <v>0</v>
      </c>
      <c r="R205">
        <f>IF(Table1[[#This Row],[furnishingstatus]]="semi-furnished", 1, 0)</f>
        <v>1</v>
      </c>
      <c r="S205">
        <v>4</v>
      </c>
      <c r="T205">
        <v>1</v>
      </c>
      <c r="U205">
        <v>2</v>
      </c>
      <c r="V205">
        <f>IF(Table1[[#This Row],[mainroad]] = "yes", 1, 0)</f>
        <v>1</v>
      </c>
      <c r="W205">
        <f>IF(Table1[[#This Row],[guestroom]]= "yes", 1, 0)</f>
        <v>0</v>
      </c>
      <c r="X205">
        <f>IF(Table1[[#This Row],[basement]]="yes", 1, 0)</f>
        <v>0</v>
      </c>
      <c r="Y205">
        <f>IF(Table1[[#This Row],[hotwaterheating]]="yes", 1, 0)</f>
        <v>0</v>
      </c>
      <c r="Z205">
        <f>IF(Table1[[#This Row],[airconditioning]]="yes", 1, 0)</f>
        <v>0</v>
      </c>
      <c r="AA205">
        <v>0</v>
      </c>
      <c r="AB205">
        <f>IF(Table1[[#This Row],[prefarea]]= "yes", 1, 0)</f>
        <v>0</v>
      </c>
      <c r="AC205" s="1">
        <v>4900000</v>
      </c>
    </row>
    <row r="206" spans="1:29">
      <c r="A206">
        <v>4770</v>
      </c>
      <c r="B206" t="s">
        <v>16</v>
      </c>
      <c r="C206">
        <v>3</v>
      </c>
      <c r="D206">
        <v>1</v>
      </c>
      <c r="E206">
        <v>1</v>
      </c>
      <c r="F206" t="s">
        <v>13</v>
      </c>
      <c r="G206" t="s">
        <v>13</v>
      </c>
      <c r="H206" t="s">
        <v>13</v>
      </c>
      <c r="I206" t="s">
        <v>14</v>
      </c>
      <c r="J206" t="s">
        <v>14</v>
      </c>
      <c r="K206">
        <v>0</v>
      </c>
      <c r="L206" t="s">
        <v>14</v>
      </c>
      <c r="M206" s="1">
        <v>4900000</v>
      </c>
      <c r="P206">
        <v>4770</v>
      </c>
      <c r="Q206">
        <f>IF(Table1[[#This Row],[furnishingstatus]]="furnished", 1, 0)</f>
        <v>0</v>
      </c>
      <c r="R206">
        <f>IF(Table1[[#This Row],[furnishingstatus]]="semi-furnished", 1, 0)</f>
        <v>1</v>
      </c>
      <c r="S206">
        <v>3</v>
      </c>
      <c r="T206">
        <v>1</v>
      </c>
      <c r="U206">
        <v>1</v>
      </c>
      <c r="V206">
        <f>IF(Table1[[#This Row],[mainroad]] = "yes", 1, 0)</f>
        <v>1</v>
      </c>
      <c r="W206">
        <f>IF(Table1[[#This Row],[guestroom]]= "yes", 1, 0)</f>
        <v>1</v>
      </c>
      <c r="X206">
        <f>IF(Table1[[#This Row],[basement]]="yes", 1, 0)</f>
        <v>1</v>
      </c>
      <c r="Y206">
        <f>IF(Table1[[#This Row],[hotwaterheating]]="yes", 1, 0)</f>
        <v>0</v>
      </c>
      <c r="Z206">
        <f>IF(Table1[[#This Row],[airconditioning]]="yes", 1, 0)</f>
        <v>0</v>
      </c>
      <c r="AA206">
        <v>0</v>
      </c>
      <c r="AB206">
        <f>IF(Table1[[#This Row],[prefarea]]= "yes", 1, 0)</f>
        <v>0</v>
      </c>
      <c r="AC206" s="1">
        <v>4900000</v>
      </c>
    </row>
    <row r="207" spans="1:29">
      <c r="A207">
        <v>6300</v>
      </c>
      <c r="B207" t="s">
        <v>16</v>
      </c>
      <c r="C207">
        <v>3</v>
      </c>
      <c r="D207">
        <v>1</v>
      </c>
      <c r="E207">
        <v>1</v>
      </c>
      <c r="F207" t="s">
        <v>13</v>
      </c>
      <c r="G207" t="s">
        <v>14</v>
      </c>
      <c r="H207" t="s">
        <v>14</v>
      </c>
      <c r="I207" t="s">
        <v>14</v>
      </c>
      <c r="J207" t="s">
        <v>13</v>
      </c>
      <c r="K207">
        <v>2</v>
      </c>
      <c r="L207" t="s">
        <v>14</v>
      </c>
      <c r="M207" s="1">
        <v>4900000</v>
      </c>
      <c r="P207">
        <v>6300</v>
      </c>
      <c r="Q207">
        <f>IF(Table1[[#This Row],[furnishingstatus]]="furnished", 1, 0)</f>
        <v>0</v>
      </c>
      <c r="R207">
        <f>IF(Table1[[#This Row],[furnishingstatus]]="semi-furnished", 1, 0)</f>
        <v>1</v>
      </c>
      <c r="S207">
        <v>3</v>
      </c>
      <c r="T207">
        <v>1</v>
      </c>
      <c r="U207">
        <v>1</v>
      </c>
      <c r="V207">
        <f>IF(Table1[[#This Row],[mainroad]] = "yes", 1, 0)</f>
        <v>1</v>
      </c>
      <c r="W207">
        <f>IF(Table1[[#This Row],[guestroom]]= "yes", 1, 0)</f>
        <v>0</v>
      </c>
      <c r="X207">
        <f>IF(Table1[[#This Row],[basement]]="yes", 1, 0)</f>
        <v>0</v>
      </c>
      <c r="Y207">
        <f>IF(Table1[[#This Row],[hotwaterheating]]="yes", 1, 0)</f>
        <v>0</v>
      </c>
      <c r="Z207">
        <f>IF(Table1[[#This Row],[airconditioning]]="yes", 1, 0)</f>
        <v>1</v>
      </c>
      <c r="AA207">
        <v>2</v>
      </c>
      <c r="AB207">
        <f>IF(Table1[[#This Row],[prefarea]]= "yes", 1, 0)</f>
        <v>0</v>
      </c>
      <c r="AC207" s="1">
        <v>4900000</v>
      </c>
    </row>
    <row r="208" spans="1:29">
      <c r="A208">
        <v>5800</v>
      </c>
      <c r="B208" t="s">
        <v>16</v>
      </c>
      <c r="C208">
        <v>2</v>
      </c>
      <c r="D208">
        <v>1</v>
      </c>
      <c r="E208">
        <v>1</v>
      </c>
      <c r="F208" t="s">
        <v>13</v>
      </c>
      <c r="G208" t="s">
        <v>13</v>
      </c>
      <c r="H208" t="s">
        <v>13</v>
      </c>
      <c r="I208" t="s">
        <v>14</v>
      </c>
      <c r="J208" t="s">
        <v>13</v>
      </c>
      <c r="K208">
        <v>0</v>
      </c>
      <c r="L208" t="s">
        <v>14</v>
      </c>
      <c r="M208" s="1">
        <v>4900000</v>
      </c>
      <c r="P208">
        <v>5800</v>
      </c>
      <c r="Q208">
        <f>IF(Table1[[#This Row],[furnishingstatus]]="furnished", 1, 0)</f>
        <v>0</v>
      </c>
      <c r="R208">
        <f>IF(Table1[[#This Row],[furnishingstatus]]="semi-furnished", 1, 0)</f>
        <v>1</v>
      </c>
      <c r="S208">
        <v>2</v>
      </c>
      <c r="T208">
        <v>1</v>
      </c>
      <c r="U208">
        <v>1</v>
      </c>
      <c r="V208">
        <f>IF(Table1[[#This Row],[mainroad]] = "yes", 1, 0)</f>
        <v>1</v>
      </c>
      <c r="W208">
        <f>IF(Table1[[#This Row],[guestroom]]= "yes", 1, 0)</f>
        <v>1</v>
      </c>
      <c r="X208">
        <f>IF(Table1[[#This Row],[basement]]="yes", 1, 0)</f>
        <v>1</v>
      </c>
      <c r="Y208">
        <f>IF(Table1[[#This Row],[hotwaterheating]]="yes", 1, 0)</f>
        <v>0</v>
      </c>
      <c r="Z208">
        <f>IF(Table1[[#This Row],[airconditioning]]="yes", 1, 0)</f>
        <v>1</v>
      </c>
      <c r="AA208">
        <v>0</v>
      </c>
      <c r="AB208">
        <f>IF(Table1[[#This Row],[prefarea]]= "yes", 1, 0)</f>
        <v>0</v>
      </c>
      <c r="AC208" s="1">
        <v>4900000</v>
      </c>
    </row>
    <row r="209" spans="1:29">
      <c r="A209">
        <v>3000</v>
      </c>
      <c r="B209" t="s">
        <v>16</v>
      </c>
      <c r="C209">
        <v>3</v>
      </c>
      <c r="D209">
        <v>1</v>
      </c>
      <c r="E209">
        <v>2</v>
      </c>
      <c r="F209" t="s">
        <v>13</v>
      </c>
      <c r="G209" t="s">
        <v>14</v>
      </c>
      <c r="H209" t="s">
        <v>13</v>
      </c>
      <c r="I209" t="s">
        <v>14</v>
      </c>
      <c r="J209" t="s">
        <v>13</v>
      </c>
      <c r="K209">
        <v>0</v>
      </c>
      <c r="L209" t="s">
        <v>14</v>
      </c>
      <c r="M209" s="1">
        <v>4900000</v>
      </c>
      <c r="P209">
        <v>3000</v>
      </c>
      <c r="Q209">
        <f>IF(Table1[[#This Row],[furnishingstatus]]="furnished", 1, 0)</f>
        <v>0</v>
      </c>
      <c r="R209">
        <f>IF(Table1[[#This Row],[furnishingstatus]]="semi-furnished", 1, 0)</f>
        <v>1</v>
      </c>
      <c r="S209">
        <v>3</v>
      </c>
      <c r="T209">
        <v>1</v>
      </c>
      <c r="U209">
        <v>2</v>
      </c>
      <c r="V209">
        <f>IF(Table1[[#This Row],[mainroad]] = "yes", 1, 0)</f>
        <v>1</v>
      </c>
      <c r="W209">
        <f>IF(Table1[[#This Row],[guestroom]]= "yes", 1, 0)</f>
        <v>0</v>
      </c>
      <c r="X209">
        <f>IF(Table1[[#This Row],[basement]]="yes", 1, 0)</f>
        <v>1</v>
      </c>
      <c r="Y209">
        <f>IF(Table1[[#This Row],[hotwaterheating]]="yes", 1, 0)</f>
        <v>0</v>
      </c>
      <c r="Z209">
        <f>IF(Table1[[#This Row],[airconditioning]]="yes", 1, 0)</f>
        <v>1</v>
      </c>
      <c r="AA209">
        <v>0</v>
      </c>
      <c r="AB209">
        <f>IF(Table1[[#This Row],[prefarea]]= "yes", 1, 0)</f>
        <v>0</v>
      </c>
      <c r="AC209" s="1">
        <v>4900000</v>
      </c>
    </row>
    <row r="210" spans="1:29">
      <c r="A210">
        <v>2970</v>
      </c>
      <c r="B210" t="s">
        <v>16</v>
      </c>
      <c r="C210">
        <v>3</v>
      </c>
      <c r="D210">
        <v>1</v>
      </c>
      <c r="E210">
        <v>3</v>
      </c>
      <c r="F210" t="s">
        <v>13</v>
      </c>
      <c r="G210" t="s">
        <v>14</v>
      </c>
      <c r="H210" t="s">
        <v>14</v>
      </c>
      <c r="I210" t="s">
        <v>14</v>
      </c>
      <c r="J210" t="s">
        <v>14</v>
      </c>
      <c r="K210">
        <v>0</v>
      </c>
      <c r="L210" t="s">
        <v>14</v>
      </c>
      <c r="M210" s="1">
        <v>4900000</v>
      </c>
      <c r="P210">
        <v>2970</v>
      </c>
      <c r="Q210">
        <f>IF(Table1[[#This Row],[furnishingstatus]]="furnished", 1, 0)</f>
        <v>0</v>
      </c>
      <c r="R210">
        <f>IF(Table1[[#This Row],[furnishingstatus]]="semi-furnished", 1, 0)</f>
        <v>1</v>
      </c>
      <c r="S210">
        <v>3</v>
      </c>
      <c r="T210">
        <v>1</v>
      </c>
      <c r="U210">
        <v>3</v>
      </c>
      <c r="V210">
        <f>IF(Table1[[#This Row],[mainroad]] = "yes", 1, 0)</f>
        <v>1</v>
      </c>
      <c r="W210">
        <f>IF(Table1[[#This Row],[guestroom]]= "yes", 1, 0)</f>
        <v>0</v>
      </c>
      <c r="X210">
        <f>IF(Table1[[#This Row],[basement]]="yes", 1, 0)</f>
        <v>0</v>
      </c>
      <c r="Y210">
        <f>IF(Table1[[#This Row],[hotwaterheating]]="yes", 1, 0)</f>
        <v>0</v>
      </c>
      <c r="Z210">
        <f>IF(Table1[[#This Row],[airconditioning]]="yes", 1, 0)</f>
        <v>0</v>
      </c>
      <c r="AA210">
        <v>0</v>
      </c>
      <c r="AB210">
        <f>IF(Table1[[#This Row],[prefarea]]= "yes", 1, 0)</f>
        <v>0</v>
      </c>
      <c r="AC210" s="1">
        <v>4900000</v>
      </c>
    </row>
    <row r="211" spans="1:29">
      <c r="A211">
        <v>6720</v>
      </c>
      <c r="B211" t="s">
        <v>17</v>
      </c>
      <c r="C211">
        <v>3</v>
      </c>
      <c r="D211">
        <v>1</v>
      </c>
      <c r="E211">
        <v>1</v>
      </c>
      <c r="F211" t="s">
        <v>13</v>
      </c>
      <c r="G211" t="s">
        <v>14</v>
      </c>
      <c r="H211" t="s">
        <v>14</v>
      </c>
      <c r="I211" t="s">
        <v>14</v>
      </c>
      <c r="J211" t="s">
        <v>14</v>
      </c>
      <c r="K211">
        <v>0</v>
      </c>
      <c r="L211" t="s">
        <v>14</v>
      </c>
      <c r="M211" s="1">
        <v>4900000</v>
      </c>
      <c r="P211">
        <v>6720</v>
      </c>
      <c r="Q211">
        <f>IF(Table1[[#This Row],[furnishingstatus]]="furnished", 1, 0)</f>
        <v>0</v>
      </c>
      <c r="R211">
        <f>IF(Table1[[#This Row],[furnishingstatus]]="semi-furnished", 1, 0)</f>
        <v>0</v>
      </c>
      <c r="S211">
        <v>3</v>
      </c>
      <c r="T211">
        <v>1</v>
      </c>
      <c r="U211">
        <v>1</v>
      </c>
      <c r="V211">
        <f>IF(Table1[[#This Row],[mainroad]] = "yes", 1, 0)</f>
        <v>1</v>
      </c>
      <c r="W211">
        <f>IF(Table1[[#This Row],[guestroom]]= "yes", 1, 0)</f>
        <v>0</v>
      </c>
      <c r="X211">
        <f>IF(Table1[[#This Row],[basement]]="yes", 1, 0)</f>
        <v>0</v>
      </c>
      <c r="Y211">
        <f>IF(Table1[[#This Row],[hotwaterheating]]="yes", 1, 0)</f>
        <v>0</v>
      </c>
      <c r="Z211">
        <f>IF(Table1[[#This Row],[airconditioning]]="yes", 1, 0)</f>
        <v>0</v>
      </c>
      <c r="AA211">
        <v>0</v>
      </c>
      <c r="AB211">
        <f>IF(Table1[[#This Row],[prefarea]]= "yes", 1, 0)</f>
        <v>0</v>
      </c>
      <c r="AC211" s="1">
        <v>4900000</v>
      </c>
    </row>
    <row r="212" spans="1:29">
      <c r="A212">
        <v>4646</v>
      </c>
      <c r="B212" t="s">
        <v>16</v>
      </c>
      <c r="C212">
        <v>3</v>
      </c>
      <c r="D212">
        <v>1</v>
      </c>
      <c r="E212">
        <v>2</v>
      </c>
      <c r="F212" t="s">
        <v>13</v>
      </c>
      <c r="G212" t="s">
        <v>13</v>
      </c>
      <c r="H212" t="s">
        <v>13</v>
      </c>
      <c r="I212" t="s">
        <v>14</v>
      </c>
      <c r="J212" t="s">
        <v>14</v>
      </c>
      <c r="K212">
        <v>2</v>
      </c>
      <c r="L212" t="s">
        <v>14</v>
      </c>
      <c r="M212" s="1">
        <v>4900000</v>
      </c>
      <c r="P212">
        <v>4646</v>
      </c>
      <c r="Q212">
        <f>IF(Table1[[#This Row],[furnishingstatus]]="furnished", 1, 0)</f>
        <v>0</v>
      </c>
      <c r="R212">
        <f>IF(Table1[[#This Row],[furnishingstatus]]="semi-furnished", 1, 0)</f>
        <v>1</v>
      </c>
      <c r="S212">
        <v>3</v>
      </c>
      <c r="T212">
        <v>1</v>
      </c>
      <c r="U212">
        <v>2</v>
      </c>
      <c r="V212">
        <f>IF(Table1[[#This Row],[mainroad]] = "yes", 1, 0)</f>
        <v>1</v>
      </c>
      <c r="W212">
        <f>IF(Table1[[#This Row],[guestroom]]= "yes", 1, 0)</f>
        <v>1</v>
      </c>
      <c r="X212">
        <f>IF(Table1[[#This Row],[basement]]="yes", 1, 0)</f>
        <v>1</v>
      </c>
      <c r="Y212">
        <f>IF(Table1[[#This Row],[hotwaterheating]]="yes", 1, 0)</f>
        <v>0</v>
      </c>
      <c r="Z212">
        <f>IF(Table1[[#This Row],[airconditioning]]="yes", 1, 0)</f>
        <v>0</v>
      </c>
      <c r="AA212">
        <v>2</v>
      </c>
      <c r="AB212">
        <f>IF(Table1[[#This Row],[prefarea]]= "yes", 1, 0)</f>
        <v>0</v>
      </c>
      <c r="AC212" s="1">
        <v>4900000</v>
      </c>
    </row>
    <row r="213" spans="1:29">
      <c r="A213">
        <v>12900</v>
      </c>
      <c r="B213" t="s">
        <v>15</v>
      </c>
      <c r="C213">
        <v>3</v>
      </c>
      <c r="D213">
        <v>1</v>
      </c>
      <c r="E213">
        <v>1</v>
      </c>
      <c r="F213" t="s">
        <v>13</v>
      </c>
      <c r="G213" t="s">
        <v>14</v>
      </c>
      <c r="H213" t="s">
        <v>14</v>
      </c>
      <c r="I213" t="s">
        <v>14</v>
      </c>
      <c r="J213" t="s">
        <v>14</v>
      </c>
      <c r="K213">
        <v>2</v>
      </c>
      <c r="L213" t="s">
        <v>14</v>
      </c>
      <c r="M213" s="1">
        <v>4900000</v>
      </c>
      <c r="P213">
        <v>12900</v>
      </c>
      <c r="Q213">
        <f>IF(Table1[[#This Row],[furnishingstatus]]="furnished", 1, 0)</f>
        <v>1</v>
      </c>
      <c r="R213">
        <f>IF(Table1[[#This Row],[furnishingstatus]]="semi-furnished", 1, 0)</f>
        <v>0</v>
      </c>
      <c r="S213">
        <v>3</v>
      </c>
      <c r="T213">
        <v>1</v>
      </c>
      <c r="U213">
        <v>1</v>
      </c>
      <c r="V213">
        <f>IF(Table1[[#This Row],[mainroad]] = "yes", 1, 0)</f>
        <v>1</v>
      </c>
      <c r="W213">
        <f>IF(Table1[[#This Row],[guestroom]]= "yes", 1, 0)</f>
        <v>0</v>
      </c>
      <c r="X213">
        <f>IF(Table1[[#This Row],[basement]]="yes", 1, 0)</f>
        <v>0</v>
      </c>
      <c r="Y213">
        <f>IF(Table1[[#This Row],[hotwaterheating]]="yes", 1, 0)</f>
        <v>0</v>
      </c>
      <c r="Z213">
        <f>IF(Table1[[#This Row],[airconditioning]]="yes", 1, 0)</f>
        <v>0</v>
      </c>
      <c r="AA213">
        <v>2</v>
      </c>
      <c r="AB213">
        <f>IF(Table1[[#This Row],[prefarea]]= "yes", 1, 0)</f>
        <v>0</v>
      </c>
      <c r="AC213" s="1">
        <v>4900000</v>
      </c>
    </row>
    <row r="214" spans="1:29">
      <c r="A214">
        <v>3420</v>
      </c>
      <c r="B214" t="s">
        <v>16</v>
      </c>
      <c r="C214">
        <v>4</v>
      </c>
      <c r="D214">
        <v>2</v>
      </c>
      <c r="E214">
        <v>2</v>
      </c>
      <c r="F214" t="s">
        <v>13</v>
      </c>
      <c r="G214" t="s">
        <v>14</v>
      </c>
      <c r="H214" t="s">
        <v>13</v>
      </c>
      <c r="I214" t="s">
        <v>14</v>
      </c>
      <c r="J214" t="s">
        <v>13</v>
      </c>
      <c r="K214">
        <v>2</v>
      </c>
      <c r="L214" t="s">
        <v>14</v>
      </c>
      <c r="M214" s="1">
        <v>4893000</v>
      </c>
      <c r="P214">
        <v>3420</v>
      </c>
      <c r="Q214">
        <f>IF(Table1[[#This Row],[furnishingstatus]]="furnished", 1, 0)</f>
        <v>0</v>
      </c>
      <c r="R214">
        <f>IF(Table1[[#This Row],[furnishingstatus]]="semi-furnished", 1, 0)</f>
        <v>1</v>
      </c>
      <c r="S214">
        <v>4</v>
      </c>
      <c r="T214">
        <v>2</v>
      </c>
      <c r="U214">
        <v>2</v>
      </c>
      <c r="V214">
        <f>IF(Table1[[#This Row],[mainroad]] = "yes", 1, 0)</f>
        <v>1</v>
      </c>
      <c r="W214">
        <f>IF(Table1[[#This Row],[guestroom]]= "yes", 1, 0)</f>
        <v>0</v>
      </c>
      <c r="X214">
        <f>IF(Table1[[#This Row],[basement]]="yes", 1, 0)</f>
        <v>1</v>
      </c>
      <c r="Y214">
        <f>IF(Table1[[#This Row],[hotwaterheating]]="yes", 1, 0)</f>
        <v>0</v>
      </c>
      <c r="Z214">
        <f>IF(Table1[[#This Row],[airconditioning]]="yes", 1, 0)</f>
        <v>1</v>
      </c>
      <c r="AA214">
        <v>2</v>
      </c>
      <c r="AB214">
        <f>IF(Table1[[#This Row],[prefarea]]= "yes", 1, 0)</f>
        <v>0</v>
      </c>
      <c r="AC214" s="1">
        <v>4893000</v>
      </c>
    </row>
    <row r="215" spans="1:29">
      <c r="A215">
        <v>4995</v>
      </c>
      <c r="B215" t="s">
        <v>16</v>
      </c>
      <c r="C215">
        <v>4</v>
      </c>
      <c r="D215">
        <v>2</v>
      </c>
      <c r="E215">
        <v>1</v>
      </c>
      <c r="F215" t="s">
        <v>13</v>
      </c>
      <c r="G215" t="s">
        <v>14</v>
      </c>
      <c r="H215" t="s">
        <v>13</v>
      </c>
      <c r="I215" t="s">
        <v>14</v>
      </c>
      <c r="J215" t="s">
        <v>14</v>
      </c>
      <c r="K215">
        <v>0</v>
      </c>
      <c r="L215" t="s">
        <v>14</v>
      </c>
      <c r="M215" s="1">
        <v>4893000</v>
      </c>
      <c r="P215">
        <v>4995</v>
      </c>
      <c r="Q215">
        <f>IF(Table1[[#This Row],[furnishingstatus]]="furnished", 1, 0)</f>
        <v>0</v>
      </c>
      <c r="R215">
        <f>IF(Table1[[#This Row],[furnishingstatus]]="semi-furnished", 1, 0)</f>
        <v>1</v>
      </c>
      <c r="S215">
        <v>4</v>
      </c>
      <c r="T215">
        <v>2</v>
      </c>
      <c r="U215">
        <v>1</v>
      </c>
      <c r="V215">
        <f>IF(Table1[[#This Row],[mainroad]] = "yes", 1, 0)</f>
        <v>1</v>
      </c>
      <c r="W215">
        <f>IF(Table1[[#This Row],[guestroom]]= "yes", 1, 0)</f>
        <v>0</v>
      </c>
      <c r="X215">
        <f>IF(Table1[[#This Row],[basement]]="yes", 1, 0)</f>
        <v>1</v>
      </c>
      <c r="Y215">
        <f>IF(Table1[[#This Row],[hotwaterheating]]="yes", 1, 0)</f>
        <v>0</v>
      </c>
      <c r="Z215">
        <f>IF(Table1[[#This Row],[airconditioning]]="yes", 1, 0)</f>
        <v>0</v>
      </c>
      <c r="AA215">
        <v>0</v>
      </c>
      <c r="AB215">
        <f>IF(Table1[[#This Row],[prefarea]]= "yes", 1, 0)</f>
        <v>0</v>
      </c>
      <c r="AC215" s="1">
        <v>4893000</v>
      </c>
    </row>
    <row r="216" spans="1:29">
      <c r="A216">
        <v>4350</v>
      </c>
      <c r="B216" t="s">
        <v>17</v>
      </c>
      <c r="C216">
        <v>2</v>
      </c>
      <c r="D216">
        <v>1</v>
      </c>
      <c r="E216">
        <v>1</v>
      </c>
      <c r="F216" t="s">
        <v>13</v>
      </c>
      <c r="G216" t="s">
        <v>14</v>
      </c>
      <c r="H216" t="s">
        <v>13</v>
      </c>
      <c r="I216" t="s">
        <v>14</v>
      </c>
      <c r="J216" t="s">
        <v>14</v>
      </c>
      <c r="K216">
        <v>0</v>
      </c>
      <c r="L216" t="s">
        <v>14</v>
      </c>
      <c r="M216" s="1">
        <v>4865000</v>
      </c>
      <c r="P216">
        <v>4350</v>
      </c>
      <c r="Q216">
        <f>IF(Table1[[#This Row],[furnishingstatus]]="furnished", 1, 0)</f>
        <v>0</v>
      </c>
      <c r="R216">
        <f>IF(Table1[[#This Row],[furnishingstatus]]="semi-furnished", 1, 0)</f>
        <v>0</v>
      </c>
      <c r="S216">
        <v>2</v>
      </c>
      <c r="T216">
        <v>1</v>
      </c>
      <c r="U216">
        <v>1</v>
      </c>
      <c r="V216">
        <f>IF(Table1[[#This Row],[mainroad]] = "yes", 1, 0)</f>
        <v>1</v>
      </c>
      <c r="W216">
        <f>IF(Table1[[#This Row],[guestroom]]= "yes", 1, 0)</f>
        <v>0</v>
      </c>
      <c r="X216">
        <f>IF(Table1[[#This Row],[basement]]="yes", 1, 0)</f>
        <v>1</v>
      </c>
      <c r="Y216">
        <f>IF(Table1[[#This Row],[hotwaterheating]]="yes", 1, 0)</f>
        <v>0</v>
      </c>
      <c r="Z216">
        <f>IF(Table1[[#This Row],[airconditioning]]="yes", 1, 0)</f>
        <v>0</v>
      </c>
      <c r="AA216">
        <v>0</v>
      </c>
      <c r="AB216">
        <f>IF(Table1[[#This Row],[prefarea]]= "yes", 1, 0)</f>
        <v>0</v>
      </c>
      <c r="AC216" s="1">
        <v>4865000</v>
      </c>
    </row>
    <row r="217" spans="1:29">
      <c r="A217">
        <v>4160</v>
      </c>
      <c r="B217" t="s">
        <v>17</v>
      </c>
      <c r="C217">
        <v>3</v>
      </c>
      <c r="D217">
        <v>1</v>
      </c>
      <c r="E217">
        <v>3</v>
      </c>
      <c r="F217" t="s">
        <v>13</v>
      </c>
      <c r="G217" t="s">
        <v>14</v>
      </c>
      <c r="H217" t="s">
        <v>14</v>
      </c>
      <c r="I217" t="s">
        <v>14</v>
      </c>
      <c r="J217" t="s">
        <v>14</v>
      </c>
      <c r="K217">
        <v>0</v>
      </c>
      <c r="L217" t="s">
        <v>14</v>
      </c>
      <c r="M217" s="1">
        <v>4830000</v>
      </c>
      <c r="P217">
        <v>4160</v>
      </c>
      <c r="Q217">
        <f>IF(Table1[[#This Row],[furnishingstatus]]="furnished", 1, 0)</f>
        <v>0</v>
      </c>
      <c r="R217">
        <f>IF(Table1[[#This Row],[furnishingstatus]]="semi-furnished", 1, 0)</f>
        <v>0</v>
      </c>
      <c r="S217">
        <v>3</v>
      </c>
      <c r="T217">
        <v>1</v>
      </c>
      <c r="U217">
        <v>3</v>
      </c>
      <c r="V217">
        <f>IF(Table1[[#This Row],[mainroad]] = "yes", 1, 0)</f>
        <v>1</v>
      </c>
      <c r="W217">
        <f>IF(Table1[[#This Row],[guestroom]]= "yes", 1, 0)</f>
        <v>0</v>
      </c>
      <c r="X217">
        <f>IF(Table1[[#This Row],[basement]]="yes", 1, 0)</f>
        <v>0</v>
      </c>
      <c r="Y217">
        <f>IF(Table1[[#This Row],[hotwaterheating]]="yes", 1, 0)</f>
        <v>0</v>
      </c>
      <c r="Z217">
        <f>IF(Table1[[#This Row],[airconditioning]]="yes", 1, 0)</f>
        <v>0</v>
      </c>
      <c r="AA217">
        <v>0</v>
      </c>
      <c r="AB217">
        <f>IF(Table1[[#This Row],[prefarea]]= "yes", 1, 0)</f>
        <v>0</v>
      </c>
      <c r="AC217" s="1">
        <v>4830000</v>
      </c>
    </row>
    <row r="218" spans="1:29">
      <c r="A218">
        <v>6040</v>
      </c>
      <c r="B218" t="s">
        <v>16</v>
      </c>
      <c r="C218">
        <v>3</v>
      </c>
      <c r="D218">
        <v>1</v>
      </c>
      <c r="E218">
        <v>1</v>
      </c>
      <c r="F218" t="s">
        <v>13</v>
      </c>
      <c r="G218" t="s">
        <v>14</v>
      </c>
      <c r="H218" t="s">
        <v>14</v>
      </c>
      <c r="I218" t="s">
        <v>14</v>
      </c>
      <c r="J218" t="s">
        <v>14</v>
      </c>
      <c r="K218">
        <v>2</v>
      </c>
      <c r="L218" t="s">
        <v>13</v>
      </c>
      <c r="M218" s="1">
        <v>4830000</v>
      </c>
      <c r="P218">
        <v>6040</v>
      </c>
      <c r="Q218">
        <f>IF(Table1[[#This Row],[furnishingstatus]]="furnished", 1, 0)</f>
        <v>0</v>
      </c>
      <c r="R218">
        <f>IF(Table1[[#This Row],[furnishingstatus]]="semi-furnished", 1, 0)</f>
        <v>1</v>
      </c>
      <c r="S218">
        <v>3</v>
      </c>
      <c r="T218">
        <v>1</v>
      </c>
      <c r="U218">
        <v>1</v>
      </c>
      <c r="V218">
        <f>IF(Table1[[#This Row],[mainroad]] = "yes", 1, 0)</f>
        <v>1</v>
      </c>
      <c r="W218">
        <f>IF(Table1[[#This Row],[guestroom]]= "yes", 1, 0)</f>
        <v>0</v>
      </c>
      <c r="X218">
        <f>IF(Table1[[#This Row],[basement]]="yes", 1, 0)</f>
        <v>0</v>
      </c>
      <c r="Y218">
        <f>IF(Table1[[#This Row],[hotwaterheating]]="yes", 1, 0)</f>
        <v>0</v>
      </c>
      <c r="Z218">
        <f>IF(Table1[[#This Row],[airconditioning]]="yes", 1, 0)</f>
        <v>0</v>
      </c>
      <c r="AA218">
        <v>2</v>
      </c>
      <c r="AB218">
        <f>IF(Table1[[#This Row],[prefarea]]= "yes", 1, 0)</f>
        <v>1</v>
      </c>
      <c r="AC218" s="1">
        <v>4830000</v>
      </c>
    </row>
    <row r="219" spans="1:29">
      <c r="A219">
        <v>6862</v>
      </c>
      <c r="B219" t="s">
        <v>15</v>
      </c>
      <c r="C219">
        <v>3</v>
      </c>
      <c r="D219">
        <v>1</v>
      </c>
      <c r="E219">
        <v>2</v>
      </c>
      <c r="F219" t="s">
        <v>13</v>
      </c>
      <c r="G219" t="s">
        <v>14</v>
      </c>
      <c r="H219" t="s">
        <v>14</v>
      </c>
      <c r="I219" t="s">
        <v>14</v>
      </c>
      <c r="J219" t="s">
        <v>13</v>
      </c>
      <c r="K219">
        <v>2</v>
      </c>
      <c r="L219" t="s">
        <v>13</v>
      </c>
      <c r="M219" s="1">
        <v>4830000</v>
      </c>
      <c r="P219">
        <v>6862</v>
      </c>
      <c r="Q219">
        <f>IF(Table1[[#This Row],[furnishingstatus]]="furnished", 1, 0)</f>
        <v>1</v>
      </c>
      <c r="R219">
        <f>IF(Table1[[#This Row],[furnishingstatus]]="semi-furnished", 1, 0)</f>
        <v>0</v>
      </c>
      <c r="S219">
        <v>3</v>
      </c>
      <c r="T219">
        <v>1</v>
      </c>
      <c r="U219">
        <v>2</v>
      </c>
      <c r="V219">
        <f>IF(Table1[[#This Row],[mainroad]] = "yes", 1, 0)</f>
        <v>1</v>
      </c>
      <c r="W219">
        <f>IF(Table1[[#This Row],[guestroom]]= "yes", 1, 0)</f>
        <v>0</v>
      </c>
      <c r="X219">
        <f>IF(Table1[[#This Row],[basement]]="yes", 1, 0)</f>
        <v>0</v>
      </c>
      <c r="Y219">
        <f>IF(Table1[[#This Row],[hotwaterheating]]="yes", 1, 0)</f>
        <v>0</v>
      </c>
      <c r="Z219">
        <f>IF(Table1[[#This Row],[airconditioning]]="yes", 1, 0)</f>
        <v>1</v>
      </c>
      <c r="AA219">
        <v>2</v>
      </c>
      <c r="AB219">
        <f>IF(Table1[[#This Row],[prefarea]]= "yes", 1, 0)</f>
        <v>1</v>
      </c>
      <c r="AC219" s="1">
        <v>4830000</v>
      </c>
    </row>
    <row r="220" spans="1:29">
      <c r="A220">
        <v>4815</v>
      </c>
      <c r="B220" t="s">
        <v>16</v>
      </c>
      <c r="C220">
        <v>2</v>
      </c>
      <c r="D220">
        <v>1</v>
      </c>
      <c r="E220">
        <v>1</v>
      </c>
      <c r="F220" t="s">
        <v>13</v>
      </c>
      <c r="G220" t="s">
        <v>14</v>
      </c>
      <c r="H220" t="s">
        <v>14</v>
      </c>
      <c r="I220" t="s">
        <v>14</v>
      </c>
      <c r="J220" t="s">
        <v>13</v>
      </c>
      <c r="K220">
        <v>0</v>
      </c>
      <c r="L220" t="s">
        <v>13</v>
      </c>
      <c r="M220" s="1">
        <v>4830000</v>
      </c>
      <c r="P220">
        <v>4815</v>
      </c>
      <c r="Q220">
        <f>IF(Table1[[#This Row],[furnishingstatus]]="furnished", 1, 0)</f>
        <v>0</v>
      </c>
      <c r="R220">
        <f>IF(Table1[[#This Row],[furnishingstatus]]="semi-furnished", 1, 0)</f>
        <v>1</v>
      </c>
      <c r="S220">
        <v>2</v>
      </c>
      <c r="T220">
        <v>1</v>
      </c>
      <c r="U220">
        <v>1</v>
      </c>
      <c r="V220">
        <f>IF(Table1[[#This Row],[mainroad]] = "yes", 1, 0)</f>
        <v>1</v>
      </c>
      <c r="W220">
        <f>IF(Table1[[#This Row],[guestroom]]= "yes", 1, 0)</f>
        <v>0</v>
      </c>
      <c r="X220">
        <f>IF(Table1[[#This Row],[basement]]="yes", 1, 0)</f>
        <v>0</v>
      </c>
      <c r="Y220">
        <f>IF(Table1[[#This Row],[hotwaterheating]]="yes", 1, 0)</f>
        <v>0</v>
      </c>
      <c r="Z220">
        <f>IF(Table1[[#This Row],[airconditioning]]="yes", 1, 0)</f>
        <v>1</v>
      </c>
      <c r="AA220">
        <v>0</v>
      </c>
      <c r="AB220">
        <f>IF(Table1[[#This Row],[prefarea]]= "yes", 1, 0)</f>
        <v>1</v>
      </c>
      <c r="AC220" s="1">
        <v>4830000</v>
      </c>
    </row>
    <row r="221" spans="1:29">
      <c r="A221">
        <v>7000</v>
      </c>
      <c r="B221" t="s">
        <v>17</v>
      </c>
      <c r="C221">
        <v>3</v>
      </c>
      <c r="D221">
        <v>1</v>
      </c>
      <c r="E221">
        <v>2</v>
      </c>
      <c r="F221" t="s">
        <v>13</v>
      </c>
      <c r="G221" t="s">
        <v>14</v>
      </c>
      <c r="H221" t="s">
        <v>13</v>
      </c>
      <c r="I221" t="s">
        <v>14</v>
      </c>
      <c r="J221" t="s">
        <v>14</v>
      </c>
      <c r="K221">
        <v>0</v>
      </c>
      <c r="L221" t="s">
        <v>14</v>
      </c>
      <c r="M221" s="1">
        <v>4795000</v>
      </c>
      <c r="P221">
        <v>7000</v>
      </c>
      <c r="Q221">
        <f>IF(Table1[[#This Row],[furnishingstatus]]="furnished", 1, 0)</f>
        <v>0</v>
      </c>
      <c r="R221">
        <f>IF(Table1[[#This Row],[furnishingstatus]]="semi-furnished", 1, 0)</f>
        <v>0</v>
      </c>
      <c r="S221">
        <v>3</v>
      </c>
      <c r="T221">
        <v>1</v>
      </c>
      <c r="U221">
        <v>2</v>
      </c>
      <c r="V221">
        <f>IF(Table1[[#This Row],[mainroad]] = "yes", 1, 0)</f>
        <v>1</v>
      </c>
      <c r="W221">
        <f>IF(Table1[[#This Row],[guestroom]]= "yes", 1, 0)</f>
        <v>0</v>
      </c>
      <c r="X221">
        <f>IF(Table1[[#This Row],[basement]]="yes", 1, 0)</f>
        <v>1</v>
      </c>
      <c r="Y221">
        <f>IF(Table1[[#This Row],[hotwaterheating]]="yes", 1, 0)</f>
        <v>0</v>
      </c>
      <c r="Z221">
        <f>IF(Table1[[#This Row],[airconditioning]]="yes", 1, 0)</f>
        <v>0</v>
      </c>
      <c r="AA221">
        <v>0</v>
      </c>
      <c r="AB221">
        <f>IF(Table1[[#This Row],[prefarea]]= "yes", 1, 0)</f>
        <v>0</v>
      </c>
      <c r="AC221" s="1">
        <v>4795000</v>
      </c>
    </row>
    <row r="222" spans="1:29">
      <c r="A222">
        <v>8100</v>
      </c>
      <c r="B222" t="s">
        <v>16</v>
      </c>
      <c r="C222">
        <v>4</v>
      </c>
      <c r="D222">
        <v>1</v>
      </c>
      <c r="E222">
        <v>4</v>
      </c>
      <c r="F222" t="s">
        <v>13</v>
      </c>
      <c r="G222" t="s">
        <v>14</v>
      </c>
      <c r="H222" t="s">
        <v>13</v>
      </c>
      <c r="I222" t="s">
        <v>14</v>
      </c>
      <c r="J222" t="s">
        <v>13</v>
      </c>
      <c r="K222">
        <v>2</v>
      </c>
      <c r="L222" t="s">
        <v>14</v>
      </c>
      <c r="M222" s="1">
        <v>4795000</v>
      </c>
      <c r="P222">
        <v>8100</v>
      </c>
      <c r="Q222">
        <f>IF(Table1[[#This Row],[furnishingstatus]]="furnished", 1, 0)</f>
        <v>0</v>
      </c>
      <c r="R222">
        <f>IF(Table1[[#This Row],[furnishingstatus]]="semi-furnished", 1, 0)</f>
        <v>1</v>
      </c>
      <c r="S222">
        <v>4</v>
      </c>
      <c r="T222">
        <v>1</v>
      </c>
      <c r="U222">
        <v>4</v>
      </c>
      <c r="V222">
        <f>IF(Table1[[#This Row],[mainroad]] = "yes", 1, 0)</f>
        <v>1</v>
      </c>
      <c r="W222">
        <f>IF(Table1[[#This Row],[guestroom]]= "yes", 1, 0)</f>
        <v>0</v>
      </c>
      <c r="X222">
        <f>IF(Table1[[#This Row],[basement]]="yes", 1, 0)</f>
        <v>1</v>
      </c>
      <c r="Y222">
        <f>IF(Table1[[#This Row],[hotwaterheating]]="yes", 1, 0)</f>
        <v>0</v>
      </c>
      <c r="Z222">
        <f>IF(Table1[[#This Row],[airconditioning]]="yes", 1, 0)</f>
        <v>1</v>
      </c>
      <c r="AA222">
        <v>2</v>
      </c>
      <c r="AB222">
        <f>IF(Table1[[#This Row],[prefarea]]= "yes", 1, 0)</f>
        <v>0</v>
      </c>
      <c r="AC222" s="1">
        <v>4795000</v>
      </c>
    </row>
    <row r="223" spans="1:29">
      <c r="A223">
        <v>3420</v>
      </c>
      <c r="B223" t="s">
        <v>16</v>
      </c>
      <c r="C223">
        <v>4</v>
      </c>
      <c r="D223">
        <v>2</v>
      </c>
      <c r="E223">
        <v>2</v>
      </c>
      <c r="F223" t="s">
        <v>13</v>
      </c>
      <c r="G223" t="s">
        <v>14</v>
      </c>
      <c r="H223" t="s">
        <v>14</v>
      </c>
      <c r="I223" t="s">
        <v>14</v>
      </c>
      <c r="J223" t="s">
        <v>14</v>
      </c>
      <c r="K223">
        <v>0</v>
      </c>
      <c r="L223" t="s">
        <v>14</v>
      </c>
      <c r="M223" s="1">
        <v>4767000</v>
      </c>
      <c r="P223">
        <v>3420</v>
      </c>
      <c r="Q223">
        <f>IF(Table1[[#This Row],[furnishingstatus]]="furnished", 1, 0)</f>
        <v>0</v>
      </c>
      <c r="R223">
        <f>IF(Table1[[#This Row],[furnishingstatus]]="semi-furnished", 1, 0)</f>
        <v>1</v>
      </c>
      <c r="S223">
        <v>4</v>
      </c>
      <c r="T223">
        <v>2</v>
      </c>
      <c r="U223">
        <v>2</v>
      </c>
      <c r="V223">
        <f>IF(Table1[[#This Row],[mainroad]] = "yes", 1, 0)</f>
        <v>1</v>
      </c>
      <c r="W223">
        <f>IF(Table1[[#This Row],[guestroom]]= "yes", 1, 0)</f>
        <v>0</v>
      </c>
      <c r="X223">
        <f>IF(Table1[[#This Row],[basement]]="yes", 1, 0)</f>
        <v>0</v>
      </c>
      <c r="Y223">
        <f>IF(Table1[[#This Row],[hotwaterheating]]="yes", 1, 0)</f>
        <v>0</v>
      </c>
      <c r="Z223">
        <f>IF(Table1[[#This Row],[airconditioning]]="yes", 1, 0)</f>
        <v>0</v>
      </c>
      <c r="AA223">
        <v>0</v>
      </c>
      <c r="AB223">
        <f>IF(Table1[[#This Row],[prefarea]]= "yes", 1, 0)</f>
        <v>0</v>
      </c>
      <c r="AC223" s="1">
        <v>4767000</v>
      </c>
    </row>
    <row r="224" spans="1:29">
      <c r="A224">
        <v>9166</v>
      </c>
      <c r="B224" t="s">
        <v>16</v>
      </c>
      <c r="C224">
        <v>2</v>
      </c>
      <c r="D224">
        <v>1</v>
      </c>
      <c r="E224">
        <v>1</v>
      </c>
      <c r="F224" t="s">
        <v>13</v>
      </c>
      <c r="G224" t="s">
        <v>14</v>
      </c>
      <c r="H224" t="s">
        <v>13</v>
      </c>
      <c r="I224" t="s">
        <v>14</v>
      </c>
      <c r="J224" t="s">
        <v>13</v>
      </c>
      <c r="K224">
        <v>2</v>
      </c>
      <c r="L224" t="s">
        <v>14</v>
      </c>
      <c r="M224" s="1">
        <v>4760000</v>
      </c>
      <c r="P224">
        <v>9166</v>
      </c>
      <c r="Q224">
        <f>IF(Table1[[#This Row],[furnishingstatus]]="furnished", 1, 0)</f>
        <v>0</v>
      </c>
      <c r="R224">
        <f>IF(Table1[[#This Row],[furnishingstatus]]="semi-furnished", 1, 0)</f>
        <v>1</v>
      </c>
      <c r="S224">
        <v>2</v>
      </c>
      <c r="T224">
        <v>1</v>
      </c>
      <c r="U224">
        <v>1</v>
      </c>
      <c r="V224">
        <f>IF(Table1[[#This Row],[mainroad]] = "yes", 1, 0)</f>
        <v>1</v>
      </c>
      <c r="W224">
        <f>IF(Table1[[#This Row],[guestroom]]= "yes", 1, 0)</f>
        <v>0</v>
      </c>
      <c r="X224">
        <f>IF(Table1[[#This Row],[basement]]="yes", 1, 0)</f>
        <v>1</v>
      </c>
      <c r="Y224">
        <f>IF(Table1[[#This Row],[hotwaterheating]]="yes", 1, 0)</f>
        <v>0</v>
      </c>
      <c r="Z224">
        <f>IF(Table1[[#This Row],[airconditioning]]="yes", 1, 0)</f>
        <v>1</v>
      </c>
      <c r="AA224">
        <v>2</v>
      </c>
      <c r="AB224">
        <f>IF(Table1[[#This Row],[prefarea]]= "yes", 1, 0)</f>
        <v>0</v>
      </c>
      <c r="AC224" s="1">
        <v>4760000</v>
      </c>
    </row>
    <row r="225" spans="1:29">
      <c r="A225">
        <v>6321</v>
      </c>
      <c r="B225" t="s">
        <v>15</v>
      </c>
      <c r="C225">
        <v>3</v>
      </c>
      <c r="D225">
        <v>1</v>
      </c>
      <c r="E225">
        <v>2</v>
      </c>
      <c r="F225" t="s">
        <v>13</v>
      </c>
      <c r="G225" t="s">
        <v>14</v>
      </c>
      <c r="H225" t="s">
        <v>13</v>
      </c>
      <c r="I225" t="s">
        <v>14</v>
      </c>
      <c r="J225" t="s">
        <v>13</v>
      </c>
      <c r="K225">
        <v>1</v>
      </c>
      <c r="L225" t="s">
        <v>14</v>
      </c>
      <c r="M225" s="1">
        <v>4760000</v>
      </c>
      <c r="P225">
        <v>6321</v>
      </c>
      <c r="Q225">
        <f>IF(Table1[[#This Row],[furnishingstatus]]="furnished", 1, 0)</f>
        <v>1</v>
      </c>
      <c r="R225">
        <f>IF(Table1[[#This Row],[furnishingstatus]]="semi-furnished", 1, 0)</f>
        <v>0</v>
      </c>
      <c r="S225">
        <v>3</v>
      </c>
      <c r="T225">
        <v>1</v>
      </c>
      <c r="U225">
        <v>2</v>
      </c>
      <c r="V225">
        <f>IF(Table1[[#This Row],[mainroad]] = "yes", 1, 0)</f>
        <v>1</v>
      </c>
      <c r="W225">
        <f>IF(Table1[[#This Row],[guestroom]]= "yes", 1, 0)</f>
        <v>0</v>
      </c>
      <c r="X225">
        <f>IF(Table1[[#This Row],[basement]]="yes", 1, 0)</f>
        <v>1</v>
      </c>
      <c r="Y225">
        <f>IF(Table1[[#This Row],[hotwaterheating]]="yes", 1, 0)</f>
        <v>0</v>
      </c>
      <c r="Z225">
        <f>IF(Table1[[#This Row],[airconditioning]]="yes", 1, 0)</f>
        <v>1</v>
      </c>
      <c r="AA225">
        <v>1</v>
      </c>
      <c r="AB225">
        <f>IF(Table1[[#This Row],[prefarea]]= "yes", 1, 0)</f>
        <v>0</v>
      </c>
      <c r="AC225" s="1">
        <v>4760000</v>
      </c>
    </row>
    <row r="226" spans="1:29">
      <c r="A226">
        <v>10240</v>
      </c>
      <c r="B226" t="s">
        <v>17</v>
      </c>
      <c r="C226">
        <v>2</v>
      </c>
      <c r="D226">
        <v>1</v>
      </c>
      <c r="E226">
        <v>1</v>
      </c>
      <c r="F226" t="s">
        <v>13</v>
      </c>
      <c r="G226" t="s">
        <v>14</v>
      </c>
      <c r="H226" t="s">
        <v>14</v>
      </c>
      <c r="I226" t="s">
        <v>14</v>
      </c>
      <c r="J226" t="s">
        <v>13</v>
      </c>
      <c r="K226">
        <v>2</v>
      </c>
      <c r="L226" t="s">
        <v>13</v>
      </c>
      <c r="M226" s="1">
        <v>4760000</v>
      </c>
      <c r="P226">
        <v>10240</v>
      </c>
      <c r="Q226">
        <f>IF(Table1[[#This Row],[furnishingstatus]]="furnished", 1, 0)</f>
        <v>0</v>
      </c>
      <c r="R226">
        <f>IF(Table1[[#This Row],[furnishingstatus]]="semi-furnished", 1, 0)</f>
        <v>0</v>
      </c>
      <c r="S226">
        <v>2</v>
      </c>
      <c r="T226">
        <v>1</v>
      </c>
      <c r="U226">
        <v>1</v>
      </c>
      <c r="V226">
        <f>IF(Table1[[#This Row],[mainroad]] = "yes", 1, 0)</f>
        <v>1</v>
      </c>
      <c r="W226">
        <f>IF(Table1[[#This Row],[guestroom]]= "yes", 1, 0)</f>
        <v>0</v>
      </c>
      <c r="X226">
        <f>IF(Table1[[#This Row],[basement]]="yes", 1, 0)</f>
        <v>0</v>
      </c>
      <c r="Y226">
        <f>IF(Table1[[#This Row],[hotwaterheating]]="yes", 1, 0)</f>
        <v>0</v>
      </c>
      <c r="Z226">
        <f>IF(Table1[[#This Row],[airconditioning]]="yes", 1, 0)</f>
        <v>1</v>
      </c>
      <c r="AA226">
        <v>2</v>
      </c>
      <c r="AB226">
        <f>IF(Table1[[#This Row],[prefarea]]= "yes", 1, 0)</f>
        <v>1</v>
      </c>
      <c r="AC226" s="1">
        <v>4760000</v>
      </c>
    </row>
    <row r="227" spans="1:29">
      <c r="A227">
        <v>6440</v>
      </c>
      <c r="B227" t="s">
        <v>16</v>
      </c>
      <c r="C227">
        <v>2</v>
      </c>
      <c r="D227">
        <v>1</v>
      </c>
      <c r="E227">
        <v>1</v>
      </c>
      <c r="F227" t="s">
        <v>13</v>
      </c>
      <c r="G227" t="s">
        <v>14</v>
      </c>
      <c r="H227" t="s">
        <v>14</v>
      </c>
      <c r="I227" t="s">
        <v>14</v>
      </c>
      <c r="J227" t="s">
        <v>13</v>
      </c>
      <c r="K227">
        <v>3</v>
      </c>
      <c r="L227" t="s">
        <v>14</v>
      </c>
      <c r="M227" s="1">
        <v>4753000</v>
      </c>
      <c r="P227">
        <v>6440</v>
      </c>
      <c r="Q227">
        <f>IF(Table1[[#This Row],[furnishingstatus]]="furnished", 1, 0)</f>
        <v>0</v>
      </c>
      <c r="R227">
        <f>IF(Table1[[#This Row],[furnishingstatus]]="semi-furnished", 1, 0)</f>
        <v>1</v>
      </c>
      <c r="S227">
        <v>2</v>
      </c>
      <c r="T227">
        <v>1</v>
      </c>
      <c r="U227">
        <v>1</v>
      </c>
      <c r="V227">
        <f>IF(Table1[[#This Row],[mainroad]] = "yes", 1, 0)</f>
        <v>1</v>
      </c>
      <c r="W227">
        <f>IF(Table1[[#This Row],[guestroom]]= "yes", 1, 0)</f>
        <v>0</v>
      </c>
      <c r="X227">
        <f>IF(Table1[[#This Row],[basement]]="yes", 1, 0)</f>
        <v>0</v>
      </c>
      <c r="Y227">
        <f>IF(Table1[[#This Row],[hotwaterheating]]="yes", 1, 0)</f>
        <v>0</v>
      </c>
      <c r="Z227">
        <f>IF(Table1[[#This Row],[airconditioning]]="yes", 1, 0)</f>
        <v>1</v>
      </c>
      <c r="AA227">
        <v>3</v>
      </c>
      <c r="AB227">
        <f>IF(Table1[[#This Row],[prefarea]]= "yes", 1, 0)</f>
        <v>0</v>
      </c>
      <c r="AC227" s="1">
        <v>4753000</v>
      </c>
    </row>
    <row r="228" spans="1:29">
      <c r="A228">
        <v>5170</v>
      </c>
      <c r="B228" t="s">
        <v>16</v>
      </c>
      <c r="C228">
        <v>3</v>
      </c>
      <c r="D228">
        <v>1</v>
      </c>
      <c r="E228">
        <v>4</v>
      </c>
      <c r="F228" t="s">
        <v>13</v>
      </c>
      <c r="G228" t="s">
        <v>14</v>
      </c>
      <c r="H228" t="s">
        <v>14</v>
      </c>
      <c r="I228" t="s">
        <v>14</v>
      </c>
      <c r="J228" t="s">
        <v>13</v>
      </c>
      <c r="K228">
        <v>0</v>
      </c>
      <c r="L228" t="s">
        <v>14</v>
      </c>
      <c r="M228" s="1">
        <v>4690000</v>
      </c>
      <c r="P228">
        <v>5170</v>
      </c>
      <c r="Q228">
        <f>IF(Table1[[#This Row],[furnishingstatus]]="furnished", 1, 0)</f>
        <v>0</v>
      </c>
      <c r="R228">
        <f>IF(Table1[[#This Row],[furnishingstatus]]="semi-furnished", 1, 0)</f>
        <v>1</v>
      </c>
      <c r="S228">
        <v>3</v>
      </c>
      <c r="T228">
        <v>1</v>
      </c>
      <c r="U228">
        <v>4</v>
      </c>
      <c r="V228">
        <f>IF(Table1[[#This Row],[mainroad]] = "yes", 1, 0)</f>
        <v>1</v>
      </c>
      <c r="W228">
        <f>IF(Table1[[#This Row],[guestroom]]= "yes", 1, 0)</f>
        <v>0</v>
      </c>
      <c r="X228">
        <f>IF(Table1[[#This Row],[basement]]="yes", 1, 0)</f>
        <v>0</v>
      </c>
      <c r="Y228">
        <f>IF(Table1[[#This Row],[hotwaterheating]]="yes", 1, 0)</f>
        <v>0</v>
      </c>
      <c r="Z228">
        <f>IF(Table1[[#This Row],[airconditioning]]="yes", 1, 0)</f>
        <v>1</v>
      </c>
      <c r="AA228">
        <v>0</v>
      </c>
      <c r="AB228">
        <f>IF(Table1[[#This Row],[prefarea]]= "yes", 1, 0)</f>
        <v>0</v>
      </c>
      <c r="AC228" s="1">
        <v>4690000</v>
      </c>
    </row>
    <row r="229" spans="1:29">
      <c r="A229">
        <v>6000</v>
      </c>
      <c r="B229" t="s">
        <v>15</v>
      </c>
      <c r="C229">
        <v>2</v>
      </c>
      <c r="D229">
        <v>1</v>
      </c>
      <c r="E229">
        <v>1</v>
      </c>
      <c r="F229" t="s">
        <v>13</v>
      </c>
      <c r="G229" t="s">
        <v>14</v>
      </c>
      <c r="H229" t="s">
        <v>13</v>
      </c>
      <c r="I229" t="s">
        <v>14</v>
      </c>
      <c r="J229" t="s">
        <v>13</v>
      </c>
      <c r="K229">
        <v>1</v>
      </c>
      <c r="L229" t="s">
        <v>14</v>
      </c>
      <c r="M229" s="1">
        <v>4690000</v>
      </c>
      <c r="P229">
        <v>6000</v>
      </c>
      <c r="Q229">
        <f>IF(Table1[[#This Row],[furnishingstatus]]="furnished", 1, 0)</f>
        <v>1</v>
      </c>
      <c r="R229">
        <f>IF(Table1[[#This Row],[furnishingstatus]]="semi-furnished", 1, 0)</f>
        <v>0</v>
      </c>
      <c r="S229">
        <v>2</v>
      </c>
      <c r="T229">
        <v>1</v>
      </c>
      <c r="U229">
        <v>1</v>
      </c>
      <c r="V229">
        <f>IF(Table1[[#This Row],[mainroad]] = "yes", 1, 0)</f>
        <v>1</v>
      </c>
      <c r="W229">
        <f>IF(Table1[[#This Row],[guestroom]]= "yes", 1, 0)</f>
        <v>0</v>
      </c>
      <c r="X229">
        <f>IF(Table1[[#This Row],[basement]]="yes", 1, 0)</f>
        <v>1</v>
      </c>
      <c r="Y229">
        <f>IF(Table1[[#This Row],[hotwaterheating]]="yes", 1, 0)</f>
        <v>0</v>
      </c>
      <c r="Z229">
        <f>IF(Table1[[#This Row],[airconditioning]]="yes", 1, 0)</f>
        <v>1</v>
      </c>
      <c r="AA229">
        <v>1</v>
      </c>
      <c r="AB229">
        <f>IF(Table1[[#This Row],[prefarea]]= "yes", 1, 0)</f>
        <v>0</v>
      </c>
      <c r="AC229" s="1">
        <v>4690000</v>
      </c>
    </row>
    <row r="230" spans="1:29">
      <c r="A230">
        <v>3630</v>
      </c>
      <c r="B230" t="s">
        <v>16</v>
      </c>
      <c r="C230">
        <v>3</v>
      </c>
      <c r="D230">
        <v>1</v>
      </c>
      <c r="E230">
        <v>2</v>
      </c>
      <c r="F230" t="s">
        <v>13</v>
      </c>
      <c r="G230" t="s">
        <v>14</v>
      </c>
      <c r="H230" t="s">
        <v>14</v>
      </c>
      <c r="I230" t="s">
        <v>14</v>
      </c>
      <c r="J230" t="s">
        <v>14</v>
      </c>
      <c r="K230">
        <v>2</v>
      </c>
      <c r="L230" t="s">
        <v>14</v>
      </c>
      <c r="M230" s="1">
        <v>4690000</v>
      </c>
      <c r="P230">
        <v>3630</v>
      </c>
      <c r="Q230">
        <f>IF(Table1[[#This Row],[furnishingstatus]]="furnished", 1, 0)</f>
        <v>0</v>
      </c>
      <c r="R230">
        <f>IF(Table1[[#This Row],[furnishingstatus]]="semi-furnished", 1, 0)</f>
        <v>1</v>
      </c>
      <c r="S230">
        <v>3</v>
      </c>
      <c r="T230">
        <v>1</v>
      </c>
      <c r="U230">
        <v>2</v>
      </c>
      <c r="V230">
        <f>IF(Table1[[#This Row],[mainroad]] = "yes", 1, 0)</f>
        <v>1</v>
      </c>
      <c r="W230">
        <f>IF(Table1[[#This Row],[guestroom]]= "yes", 1, 0)</f>
        <v>0</v>
      </c>
      <c r="X230">
        <f>IF(Table1[[#This Row],[basement]]="yes", 1, 0)</f>
        <v>0</v>
      </c>
      <c r="Y230">
        <f>IF(Table1[[#This Row],[hotwaterheating]]="yes", 1, 0)</f>
        <v>0</v>
      </c>
      <c r="Z230">
        <f>IF(Table1[[#This Row],[airconditioning]]="yes", 1, 0)</f>
        <v>0</v>
      </c>
      <c r="AA230">
        <v>2</v>
      </c>
      <c r="AB230">
        <f>IF(Table1[[#This Row],[prefarea]]= "yes", 1, 0)</f>
        <v>0</v>
      </c>
      <c r="AC230" s="1">
        <v>4690000</v>
      </c>
    </row>
    <row r="231" spans="1:29">
      <c r="A231">
        <v>9667</v>
      </c>
      <c r="B231" t="s">
        <v>16</v>
      </c>
      <c r="C231">
        <v>4</v>
      </c>
      <c r="D231">
        <v>2</v>
      </c>
      <c r="E231">
        <v>2</v>
      </c>
      <c r="F231" t="s">
        <v>13</v>
      </c>
      <c r="G231" t="s">
        <v>13</v>
      </c>
      <c r="H231" t="s">
        <v>13</v>
      </c>
      <c r="I231" t="s">
        <v>14</v>
      </c>
      <c r="J231" t="s">
        <v>14</v>
      </c>
      <c r="K231">
        <v>1</v>
      </c>
      <c r="L231" t="s">
        <v>14</v>
      </c>
      <c r="M231" s="1">
        <v>4690000</v>
      </c>
      <c r="P231">
        <v>9667</v>
      </c>
      <c r="Q231">
        <f>IF(Table1[[#This Row],[furnishingstatus]]="furnished", 1, 0)</f>
        <v>0</v>
      </c>
      <c r="R231">
        <f>IF(Table1[[#This Row],[furnishingstatus]]="semi-furnished", 1, 0)</f>
        <v>1</v>
      </c>
      <c r="S231">
        <v>4</v>
      </c>
      <c r="T231">
        <v>2</v>
      </c>
      <c r="U231">
        <v>2</v>
      </c>
      <c r="V231">
        <f>IF(Table1[[#This Row],[mainroad]] = "yes", 1, 0)</f>
        <v>1</v>
      </c>
      <c r="W231">
        <f>IF(Table1[[#This Row],[guestroom]]= "yes", 1, 0)</f>
        <v>1</v>
      </c>
      <c r="X231">
        <f>IF(Table1[[#This Row],[basement]]="yes", 1, 0)</f>
        <v>1</v>
      </c>
      <c r="Y231">
        <f>IF(Table1[[#This Row],[hotwaterheating]]="yes", 1, 0)</f>
        <v>0</v>
      </c>
      <c r="Z231">
        <f>IF(Table1[[#This Row],[airconditioning]]="yes", 1, 0)</f>
        <v>0</v>
      </c>
      <c r="AA231">
        <v>1</v>
      </c>
      <c r="AB231">
        <f>IF(Table1[[#This Row],[prefarea]]= "yes", 1, 0)</f>
        <v>0</v>
      </c>
      <c r="AC231" s="1">
        <v>4690000</v>
      </c>
    </row>
    <row r="232" spans="1:29">
      <c r="A232">
        <v>5400</v>
      </c>
      <c r="B232" t="s">
        <v>16</v>
      </c>
      <c r="C232">
        <v>2</v>
      </c>
      <c r="D232">
        <v>1</v>
      </c>
      <c r="E232">
        <v>2</v>
      </c>
      <c r="F232" t="s">
        <v>13</v>
      </c>
      <c r="G232" t="s">
        <v>14</v>
      </c>
      <c r="H232" t="s">
        <v>14</v>
      </c>
      <c r="I232" t="s">
        <v>14</v>
      </c>
      <c r="J232" t="s">
        <v>14</v>
      </c>
      <c r="K232">
        <v>0</v>
      </c>
      <c r="L232" t="s">
        <v>13</v>
      </c>
      <c r="M232" s="1">
        <v>4690000</v>
      </c>
      <c r="P232">
        <v>5400</v>
      </c>
      <c r="Q232">
        <f>IF(Table1[[#This Row],[furnishingstatus]]="furnished", 1, 0)</f>
        <v>0</v>
      </c>
      <c r="R232">
        <f>IF(Table1[[#This Row],[furnishingstatus]]="semi-furnished", 1, 0)</f>
        <v>1</v>
      </c>
      <c r="S232">
        <v>2</v>
      </c>
      <c r="T232">
        <v>1</v>
      </c>
      <c r="U232">
        <v>2</v>
      </c>
      <c r="V232">
        <f>IF(Table1[[#This Row],[mainroad]] = "yes", 1, 0)</f>
        <v>1</v>
      </c>
      <c r="W232">
        <f>IF(Table1[[#This Row],[guestroom]]= "yes", 1, 0)</f>
        <v>0</v>
      </c>
      <c r="X232">
        <f>IF(Table1[[#This Row],[basement]]="yes", 1, 0)</f>
        <v>0</v>
      </c>
      <c r="Y232">
        <f>IF(Table1[[#This Row],[hotwaterheating]]="yes", 1, 0)</f>
        <v>0</v>
      </c>
      <c r="Z232">
        <f>IF(Table1[[#This Row],[airconditioning]]="yes", 1, 0)</f>
        <v>0</v>
      </c>
      <c r="AA232">
        <v>0</v>
      </c>
      <c r="AB232">
        <f>IF(Table1[[#This Row],[prefarea]]= "yes", 1, 0)</f>
        <v>1</v>
      </c>
      <c r="AC232" s="1">
        <v>4690000</v>
      </c>
    </row>
    <row r="233" spans="1:29">
      <c r="A233">
        <v>4320</v>
      </c>
      <c r="B233" t="s">
        <v>16</v>
      </c>
      <c r="C233">
        <v>3</v>
      </c>
      <c r="D233">
        <v>1</v>
      </c>
      <c r="E233">
        <v>1</v>
      </c>
      <c r="F233" t="s">
        <v>13</v>
      </c>
      <c r="G233" t="s">
        <v>14</v>
      </c>
      <c r="H233" t="s">
        <v>14</v>
      </c>
      <c r="I233" t="s">
        <v>14</v>
      </c>
      <c r="J233" t="s">
        <v>14</v>
      </c>
      <c r="K233">
        <v>0</v>
      </c>
      <c r="L233" t="s">
        <v>13</v>
      </c>
      <c r="M233" s="1">
        <v>4690000</v>
      </c>
      <c r="P233">
        <v>4320</v>
      </c>
      <c r="Q233">
        <f>IF(Table1[[#This Row],[furnishingstatus]]="furnished", 1, 0)</f>
        <v>0</v>
      </c>
      <c r="R233">
        <f>IF(Table1[[#This Row],[furnishingstatus]]="semi-furnished", 1, 0)</f>
        <v>1</v>
      </c>
      <c r="S233">
        <v>3</v>
      </c>
      <c r="T233">
        <v>1</v>
      </c>
      <c r="U233">
        <v>1</v>
      </c>
      <c r="V233">
        <f>IF(Table1[[#This Row],[mainroad]] = "yes", 1, 0)</f>
        <v>1</v>
      </c>
      <c r="W233">
        <f>IF(Table1[[#This Row],[guestroom]]= "yes", 1, 0)</f>
        <v>0</v>
      </c>
      <c r="X233">
        <f>IF(Table1[[#This Row],[basement]]="yes", 1, 0)</f>
        <v>0</v>
      </c>
      <c r="Y233">
        <f>IF(Table1[[#This Row],[hotwaterheating]]="yes", 1, 0)</f>
        <v>0</v>
      </c>
      <c r="Z233">
        <f>IF(Table1[[#This Row],[airconditioning]]="yes", 1, 0)</f>
        <v>0</v>
      </c>
      <c r="AA233">
        <v>0</v>
      </c>
      <c r="AB233">
        <f>IF(Table1[[#This Row],[prefarea]]= "yes", 1, 0)</f>
        <v>1</v>
      </c>
      <c r="AC233" s="1">
        <v>4690000</v>
      </c>
    </row>
    <row r="234" spans="1:29">
      <c r="A234">
        <v>3745</v>
      </c>
      <c r="B234" t="s">
        <v>15</v>
      </c>
      <c r="C234">
        <v>3</v>
      </c>
      <c r="D234">
        <v>1</v>
      </c>
      <c r="E234">
        <v>2</v>
      </c>
      <c r="F234" t="s">
        <v>13</v>
      </c>
      <c r="G234" t="s">
        <v>14</v>
      </c>
      <c r="H234" t="s">
        <v>13</v>
      </c>
      <c r="I234" t="s">
        <v>14</v>
      </c>
      <c r="J234" t="s">
        <v>14</v>
      </c>
      <c r="K234">
        <v>0</v>
      </c>
      <c r="L234" t="s">
        <v>14</v>
      </c>
      <c r="M234" s="1">
        <v>4655000</v>
      </c>
      <c r="P234">
        <v>3745</v>
      </c>
      <c r="Q234">
        <f>IF(Table1[[#This Row],[furnishingstatus]]="furnished", 1, 0)</f>
        <v>1</v>
      </c>
      <c r="R234">
        <f>IF(Table1[[#This Row],[furnishingstatus]]="semi-furnished", 1, 0)</f>
        <v>0</v>
      </c>
      <c r="S234">
        <v>3</v>
      </c>
      <c r="T234">
        <v>1</v>
      </c>
      <c r="U234">
        <v>2</v>
      </c>
      <c r="V234">
        <f>IF(Table1[[#This Row],[mainroad]] = "yes", 1, 0)</f>
        <v>1</v>
      </c>
      <c r="W234">
        <f>IF(Table1[[#This Row],[guestroom]]= "yes", 1, 0)</f>
        <v>0</v>
      </c>
      <c r="X234">
        <f>IF(Table1[[#This Row],[basement]]="yes", 1, 0)</f>
        <v>1</v>
      </c>
      <c r="Y234">
        <f>IF(Table1[[#This Row],[hotwaterheating]]="yes", 1, 0)</f>
        <v>0</v>
      </c>
      <c r="Z234">
        <f>IF(Table1[[#This Row],[airconditioning]]="yes", 1, 0)</f>
        <v>0</v>
      </c>
      <c r="AA234">
        <v>0</v>
      </c>
      <c r="AB234">
        <f>IF(Table1[[#This Row],[prefarea]]= "yes", 1, 0)</f>
        <v>0</v>
      </c>
      <c r="AC234" s="1">
        <v>4655000</v>
      </c>
    </row>
    <row r="235" spans="1:29">
      <c r="A235">
        <v>4160</v>
      </c>
      <c r="B235" t="s">
        <v>17</v>
      </c>
      <c r="C235">
        <v>3</v>
      </c>
      <c r="D235">
        <v>1</v>
      </c>
      <c r="E235">
        <v>1</v>
      </c>
      <c r="F235" t="s">
        <v>13</v>
      </c>
      <c r="G235" t="s">
        <v>13</v>
      </c>
      <c r="H235" t="s">
        <v>13</v>
      </c>
      <c r="I235" t="s">
        <v>14</v>
      </c>
      <c r="J235" t="s">
        <v>13</v>
      </c>
      <c r="K235">
        <v>0</v>
      </c>
      <c r="L235" t="s">
        <v>14</v>
      </c>
      <c r="M235" s="1">
        <v>4620000</v>
      </c>
      <c r="P235">
        <v>4160</v>
      </c>
      <c r="Q235">
        <f>IF(Table1[[#This Row],[furnishingstatus]]="furnished", 1, 0)</f>
        <v>0</v>
      </c>
      <c r="R235">
        <f>IF(Table1[[#This Row],[furnishingstatus]]="semi-furnished", 1, 0)</f>
        <v>0</v>
      </c>
      <c r="S235">
        <v>3</v>
      </c>
      <c r="T235">
        <v>1</v>
      </c>
      <c r="U235">
        <v>1</v>
      </c>
      <c r="V235">
        <f>IF(Table1[[#This Row],[mainroad]] = "yes", 1, 0)</f>
        <v>1</v>
      </c>
      <c r="W235">
        <f>IF(Table1[[#This Row],[guestroom]]= "yes", 1, 0)</f>
        <v>1</v>
      </c>
      <c r="X235">
        <f>IF(Table1[[#This Row],[basement]]="yes", 1, 0)</f>
        <v>1</v>
      </c>
      <c r="Y235">
        <f>IF(Table1[[#This Row],[hotwaterheating]]="yes", 1, 0)</f>
        <v>0</v>
      </c>
      <c r="Z235">
        <f>IF(Table1[[#This Row],[airconditioning]]="yes", 1, 0)</f>
        <v>1</v>
      </c>
      <c r="AA235">
        <v>0</v>
      </c>
      <c r="AB235">
        <f>IF(Table1[[#This Row],[prefarea]]= "yes", 1, 0)</f>
        <v>0</v>
      </c>
      <c r="AC235" s="1">
        <v>4620000</v>
      </c>
    </row>
    <row r="236" spans="1:29">
      <c r="A236">
        <v>3880</v>
      </c>
      <c r="B236" t="s">
        <v>16</v>
      </c>
      <c r="C236">
        <v>3</v>
      </c>
      <c r="D236">
        <v>2</v>
      </c>
      <c r="E236">
        <v>2</v>
      </c>
      <c r="F236" t="s">
        <v>13</v>
      </c>
      <c r="G236" t="s">
        <v>14</v>
      </c>
      <c r="H236" t="s">
        <v>13</v>
      </c>
      <c r="I236" t="s">
        <v>14</v>
      </c>
      <c r="J236" t="s">
        <v>14</v>
      </c>
      <c r="K236">
        <v>2</v>
      </c>
      <c r="L236" t="s">
        <v>14</v>
      </c>
      <c r="M236" s="1">
        <v>4620000</v>
      </c>
      <c r="P236">
        <v>3880</v>
      </c>
      <c r="Q236">
        <f>IF(Table1[[#This Row],[furnishingstatus]]="furnished", 1, 0)</f>
        <v>0</v>
      </c>
      <c r="R236">
        <f>IF(Table1[[#This Row],[furnishingstatus]]="semi-furnished", 1, 0)</f>
        <v>1</v>
      </c>
      <c r="S236">
        <v>3</v>
      </c>
      <c r="T236">
        <v>2</v>
      </c>
      <c r="U236">
        <v>2</v>
      </c>
      <c r="V236">
        <f>IF(Table1[[#This Row],[mainroad]] = "yes", 1, 0)</f>
        <v>1</v>
      </c>
      <c r="W236">
        <f>IF(Table1[[#This Row],[guestroom]]= "yes", 1, 0)</f>
        <v>0</v>
      </c>
      <c r="X236">
        <f>IF(Table1[[#This Row],[basement]]="yes", 1, 0)</f>
        <v>1</v>
      </c>
      <c r="Y236">
        <f>IF(Table1[[#This Row],[hotwaterheating]]="yes", 1, 0)</f>
        <v>0</v>
      </c>
      <c r="Z236">
        <f>IF(Table1[[#This Row],[airconditioning]]="yes", 1, 0)</f>
        <v>0</v>
      </c>
      <c r="AA236">
        <v>2</v>
      </c>
      <c r="AB236">
        <f>IF(Table1[[#This Row],[prefarea]]= "yes", 1, 0)</f>
        <v>0</v>
      </c>
      <c r="AC236" s="1">
        <v>4620000</v>
      </c>
    </row>
    <row r="237" spans="1:29">
      <c r="A237">
        <v>5680</v>
      </c>
      <c r="B237" t="s">
        <v>16</v>
      </c>
      <c r="C237">
        <v>3</v>
      </c>
      <c r="D237">
        <v>1</v>
      </c>
      <c r="E237">
        <v>2</v>
      </c>
      <c r="F237" t="s">
        <v>13</v>
      </c>
      <c r="G237" t="s">
        <v>13</v>
      </c>
      <c r="H237" t="s">
        <v>14</v>
      </c>
      <c r="I237" t="s">
        <v>14</v>
      </c>
      <c r="J237" t="s">
        <v>13</v>
      </c>
      <c r="K237">
        <v>1</v>
      </c>
      <c r="L237" t="s">
        <v>14</v>
      </c>
      <c r="M237" s="1">
        <v>4620000</v>
      </c>
      <c r="P237">
        <v>5680</v>
      </c>
      <c r="Q237">
        <f>IF(Table1[[#This Row],[furnishingstatus]]="furnished", 1, 0)</f>
        <v>0</v>
      </c>
      <c r="R237">
        <f>IF(Table1[[#This Row],[furnishingstatus]]="semi-furnished", 1, 0)</f>
        <v>1</v>
      </c>
      <c r="S237">
        <v>3</v>
      </c>
      <c r="T237">
        <v>1</v>
      </c>
      <c r="U237">
        <v>2</v>
      </c>
      <c r="V237">
        <f>IF(Table1[[#This Row],[mainroad]] = "yes", 1, 0)</f>
        <v>1</v>
      </c>
      <c r="W237">
        <f>IF(Table1[[#This Row],[guestroom]]= "yes", 1, 0)</f>
        <v>1</v>
      </c>
      <c r="X237">
        <f>IF(Table1[[#This Row],[basement]]="yes", 1, 0)</f>
        <v>0</v>
      </c>
      <c r="Y237">
        <f>IF(Table1[[#This Row],[hotwaterheating]]="yes", 1, 0)</f>
        <v>0</v>
      </c>
      <c r="Z237">
        <f>IF(Table1[[#This Row],[airconditioning]]="yes", 1, 0)</f>
        <v>1</v>
      </c>
      <c r="AA237">
        <v>1</v>
      </c>
      <c r="AB237">
        <f>IF(Table1[[#This Row],[prefarea]]= "yes", 1, 0)</f>
        <v>0</v>
      </c>
      <c r="AC237" s="1">
        <v>4620000</v>
      </c>
    </row>
    <row r="238" spans="1:29">
      <c r="A238">
        <v>2870</v>
      </c>
      <c r="B238" t="s">
        <v>16</v>
      </c>
      <c r="C238">
        <v>2</v>
      </c>
      <c r="D238">
        <v>1</v>
      </c>
      <c r="E238">
        <v>2</v>
      </c>
      <c r="F238" t="s">
        <v>13</v>
      </c>
      <c r="G238" t="s">
        <v>13</v>
      </c>
      <c r="H238" t="s">
        <v>13</v>
      </c>
      <c r="I238" t="s">
        <v>14</v>
      </c>
      <c r="J238" t="s">
        <v>14</v>
      </c>
      <c r="K238">
        <v>0</v>
      </c>
      <c r="L238" t="s">
        <v>13</v>
      </c>
      <c r="M238" s="1">
        <v>4620000</v>
      </c>
      <c r="P238">
        <v>2870</v>
      </c>
      <c r="Q238">
        <f>IF(Table1[[#This Row],[furnishingstatus]]="furnished", 1, 0)</f>
        <v>0</v>
      </c>
      <c r="R238">
        <f>IF(Table1[[#This Row],[furnishingstatus]]="semi-furnished", 1, 0)</f>
        <v>1</v>
      </c>
      <c r="S238">
        <v>2</v>
      </c>
      <c r="T238">
        <v>1</v>
      </c>
      <c r="U238">
        <v>2</v>
      </c>
      <c r="V238">
        <f>IF(Table1[[#This Row],[mainroad]] = "yes", 1, 0)</f>
        <v>1</v>
      </c>
      <c r="W238">
        <f>IF(Table1[[#This Row],[guestroom]]= "yes", 1, 0)</f>
        <v>1</v>
      </c>
      <c r="X238">
        <f>IF(Table1[[#This Row],[basement]]="yes", 1, 0)</f>
        <v>1</v>
      </c>
      <c r="Y238">
        <f>IF(Table1[[#This Row],[hotwaterheating]]="yes", 1, 0)</f>
        <v>0</v>
      </c>
      <c r="Z238">
        <f>IF(Table1[[#This Row],[airconditioning]]="yes", 1, 0)</f>
        <v>0</v>
      </c>
      <c r="AA238">
        <v>0</v>
      </c>
      <c r="AB238">
        <f>IF(Table1[[#This Row],[prefarea]]= "yes", 1, 0)</f>
        <v>1</v>
      </c>
      <c r="AC238" s="1">
        <v>4620000</v>
      </c>
    </row>
    <row r="239" spans="1:29">
      <c r="A239">
        <v>5010</v>
      </c>
      <c r="B239" t="s">
        <v>16</v>
      </c>
      <c r="C239">
        <v>3</v>
      </c>
      <c r="D239">
        <v>1</v>
      </c>
      <c r="E239">
        <v>2</v>
      </c>
      <c r="F239" t="s">
        <v>13</v>
      </c>
      <c r="G239" t="s">
        <v>14</v>
      </c>
      <c r="H239" t="s">
        <v>13</v>
      </c>
      <c r="I239" t="s">
        <v>14</v>
      </c>
      <c r="J239" t="s">
        <v>14</v>
      </c>
      <c r="K239">
        <v>0</v>
      </c>
      <c r="L239" t="s">
        <v>14</v>
      </c>
      <c r="M239" s="1">
        <v>4620000</v>
      </c>
      <c r="P239">
        <v>5010</v>
      </c>
      <c r="Q239">
        <f>IF(Table1[[#This Row],[furnishingstatus]]="furnished", 1, 0)</f>
        <v>0</v>
      </c>
      <c r="R239">
        <f>IF(Table1[[#This Row],[furnishingstatus]]="semi-furnished", 1, 0)</f>
        <v>1</v>
      </c>
      <c r="S239">
        <v>3</v>
      </c>
      <c r="T239">
        <v>1</v>
      </c>
      <c r="U239">
        <v>2</v>
      </c>
      <c r="V239">
        <f>IF(Table1[[#This Row],[mainroad]] = "yes", 1, 0)</f>
        <v>1</v>
      </c>
      <c r="W239">
        <f>IF(Table1[[#This Row],[guestroom]]= "yes", 1, 0)</f>
        <v>0</v>
      </c>
      <c r="X239">
        <f>IF(Table1[[#This Row],[basement]]="yes", 1, 0)</f>
        <v>1</v>
      </c>
      <c r="Y239">
        <f>IF(Table1[[#This Row],[hotwaterheating]]="yes", 1, 0)</f>
        <v>0</v>
      </c>
      <c r="Z239">
        <f>IF(Table1[[#This Row],[airconditioning]]="yes", 1, 0)</f>
        <v>0</v>
      </c>
      <c r="AA239">
        <v>0</v>
      </c>
      <c r="AB239">
        <f>IF(Table1[[#This Row],[prefarea]]= "yes", 1, 0)</f>
        <v>0</v>
      </c>
      <c r="AC239" s="1">
        <v>4620000</v>
      </c>
    </row>
    <row r="240" spans="1:29">
      <c r="A240">
        <v>4510</v>
      </c>
      <c r="B240" t="s">
        <v>16</v>
      </c>
      <c r="C240">
        <v>4</v>
      </c>
      <c r="D240">
        <v>2</v>
      </c>
      <c r="E240">
        <v>2</v>
      </c>
      <c r="F240" t="s">
        <v>13</v>
      </c>
      <c r="G240" t="s">
        <v>14</v>
      </c>
      <c r="H240" t="s">
        <v>13</v>
      </c>
      <c r="I240" t="s">
        <v>14</v>
      </c>
      <c r="J240" t="s">
        <v>14</v>
      </c>
      <c r="K240">
        <v>0</v>
      </c>
      <c r="L240" t="s">
        <v>14</v>
      </c>
      <c r="M240" s="1">
        <v>4613000</v>
      </c>
      <c r="P240">
        <v>4510</v>
      </c>
      <c r="Q240">
        <f>IF(Table1[[#This Row],[furnishingstatus]]="furnished", 1, 0)</f>
        <v>0</v>
      </c>
      <c r="R240">
        <f>IF(Table1[[#This Row],[furnishingstatus]]="semi-furnished", 1, 0)</f>
        <v>1</v>
      </c>
      <c r="S240">
        <v>4</v>
      </c>
      <c r="T240">
        <v>2</v>
      </c>
      <c r="U240">
        <v>2</v>
      </c>
      <c r="V240">
        <f>IF(Table1[[#This Row],[mainroad]] = "yes", 1, 0)</f>
        <v>1</v>
      </c>
      <c r="W240">
        <f>IF(Table1[[#This Row],[guestroom]]= "yes", 1, 0)</f>
        <v>0</v>
      </c>
      <c r="X240">
        <f>IF(Table1[[#This Row],[basement]]="yes", 1, 0)</f>
        <v>1</v>
      </c>
      <c r="Y240">
        <f>IF(Table1[[#This Row],[hotwaterheating]]="yes", 1, 0)</f>
        <v>0</v>
      </c>
      <c r="Z240">
        <f>IF(Table1[[#This Row],[airconditioning]]="yes", 1, 0)</f>
        <v>0</v>
      </c>
      <c r="AA240">
        <v>0</v>
      </c>
      <c r="AB240">
        <f>IF(Table1[[#This Row],[prefarea]]= "yes", 1, 0)</f>
        <v>0</v>
      </c>
      <c r="AC240" s="1">
        <v>4613000</v>
      </c>
    </row>
    <row r="241" spans="1:29">
      <c r="A241">
        <v>4000</v>
      </c>
      <c r="B241" t="s">
        <v>15</v>
      </c>
      <c r="C241">
        <v>3</v>
      </c>
      <c r="D241">
        <v>1</v>
      </c>
      <c r="E241">
        <v>2</v>
      </c>
      <c r="F241" t="s">
        <v>13</v>
      </c>
      <c r="G241" t="s">
        <v>14</v>
      </c>
      <c r="H241" t="s">
        <v>14</v>
      </c>
      <c r="I241" t="s">
        <v>14</v>
      </c>
      <c r="J241" t="s">
        <v>14</v>
      </c>
      <c r="K241">
        <v>1</v>
      </c>
      <c r="L241" t="s">
        <v>14</v>
      </c>
      <c r="M241" s="1">
        <v>4585000</v>
      </c>
      <c r="P241">
        <v>4000</v>
      </c>
      <c r="Q241">
        <f>IF(Table1[[#This Row],[furnishingstatus]]="furnished", 1, 0)</f>
        <v>1</v>
      </c>
      <c r="R241">
        <f>IF(Table1[[#This Row],[furnishingstatus]]="semi-furnished", 1, 0)</f>
        <v>0</v>
      </c>
      <c r="S241">
        <v>3</v>
      </c>
      <c r="T241">
        <v>1</v>
      </c>
      <c r="U241">
        <v>2</v>
      </c>
      <c r="V241">
        <f>IF(Table1[[#This Row],[mainroad]] = "yes", 1, 0)</f>
        <v>1</v>
      </c>
      <c r="W241">
        <f>IF(Table1[[#This Row],[guestroom]]= "yes", 1, 0)</f>
        <v>0</v>
      </c>
      <c r="X241">
        <f>IF(Table1[[#This Row],[basement]]="yes", 1, 0)</f>
        <v>0</v>
      </c>
      <c r="Y241">
        <f>IF(Table1[[#This Row],[hotwaterheating]]="yes", 1, 0)</f>
        <v>0</v>
      </c>
      <c r="Z241">
        <f>IF(Table1[[#This Row],[airconditioning]]="yes", 1, 0)</f>
        <v>0</v>
      </c>
      <c r="AA241">
        <v>1</v>
      </c>
      <c r="AB241">
        <f>IF(Table1[[#This Row],[prefarea]]= "yes", 1, 0)</f>
        <v>0</v>
      </c>
      <c r="AC241" s="1">
        <v>4585000</v>
      </c>
    </row>
    <row r="242" spans="1:29">
      <c r="A242">
        <v>3840</v>
      </c>
      <c r="B242" t="s">
        <v>16</v>
      </c>
      <c r="C242">
        <v>3</v>
      </c>
      <c r="D242">
        <v>1</v>
      </c>
      <c r="E242">
        <v>2</v>
      </c>
      <c r="F242" t="s">
        <v>13</v>
      </c>
      <c r="G242" t="s">
        <v>14</v>
      </c>
      <c r="H242" t="s">
        <v>14</v>
      </c>
      <c r="I242" t="s">
        <v>14</v>
      </c>
      <c r="J242" t="s">
        <v>14</v>
      </c>
      <c r="K242">
        <v>1</v>
      </c>
      <c r="L242" t="s">
        <v>13</v>
      </c>
      <c r="M242" s="1">
        <v>4585000</v>
      </c>
      <c r="P242">
        <v>3840</v>
      </c>
      <c r="Q242">
        <f>IF(Table1[[#This Row],[furnishingstatus]]="furnished", 1, 0)</f>
        <v>0</v>
      </c>
      <c r="R242">
        <f>IF(Table1[[#This Row],[furnishingstatus]]="semi-furnished", 1, 0)</f>
        <v>1</v>
      </c>
      <c r="S242">
        <v>3</v>
      </c>
      <c r="T242">
        <v>1</v>
      </c>
      <c r="U242">
        <v>2</v>
      </c>
      <c r="V242">
        <f>IF(Table1[[#This Row],[mainroad]] = "yes", 1, 0)</f>
        <v>1</v>
      </c>
      <c r="W242">
        <f>IF(Table1[[#This Row],[guestroom]]= "yes", 1, 0)</f>
        <v>0</v>
      </c>
      <c r="X242">
        <f>IF(Table1[[#This Row],[basement]]="yes", 1, 0)</f>
        <v>0</v>
      </c>
      <c r="Y242">
        <f>IF(Table1[[#This Row],[hotwaterheating]]="yes", 1, 0)</f>
        <v>0</v>
      </c>
      <c r="Z242">
        <f>IF(Table1[[#This Row],[airconditioning]]="yes", 1, 0)</f>
        <v>0</v>
      </c>
      <c r="AA242">
        <v>1</v>
      </c>
      <c r="AB242">
        <f>IF(Table1[[#This Row],[prefarea]]= "yes", 1, 0)</f>
        <v>1</v>
      </c>
      <c r="AC242" s="1">
        <v>4585000</v>
      </c>
    </row>
    <row r="243" spans="1:29">
      <c r="A243">
        <v>3760</v>
      </c>
      <c r="B243" t="s">
        <v>16</v>
      </c>
      <c r="C243">
        <v>3</v>
      </c>
      <c r="D243">
        <v>1</v>
      </c>
      <c r="E243">
        <v>1</v>
      </c>
      <c r="F243" t="s">
        <v>13</v>
      </c>
      <c r="G243" t="s">
        <v>14</v>
      </c>
      <c r="H243" t="s">
        <v>14</v>
      </c>
      <c r="I243" t="s">
        <v>14</v>
      </c>
      <c r="J243" t="s">
        <v>14</v>
      </c>
      <c r="K243">
        <v>2</v>
      </c>
      <c r="L243" t="s">
        <v>14</v>
      </c>
      <c r="M243" s="1">
        <v>4550000</v>
      </c>
      <c r="P243">
        <v>3760</v>
      </c>
      <c r="Q243">
        <f>IF(Table1[[#This Row],[furnishingstatus]]="furnished", 1, 0)</f>
        <v>0</v>
      </c>
      <c r="R243">
        <f>IF(Table1[[#This Row],[furnishingstatus]]="semi-furnished", 1, 0)</f>
        <v>1</v>
      </c>
      <c r="S243">
        <v>3</v>
      </c>
      <c r="T243">
        <v>1</v>
      </c>
      <c r="U243">
        <v>1</v>
      </c>
      <c r="V243">
        <f>IF(Table1[[#This Row],[mainroad]] = "yes", 1, 0)</f>
        <v>1</v>
      </c>
      <c r="W243">
        <f>IF(Table1[[#This Row],[guestroom]]= "yes", 1, 0)</f>
        <v>0</v>
      </c>
      <c r="X243">
        <f>IF(Table1[[#This Row],[basement]]="yes", 1, 0)</f>
        <v>0</v>
      </c>
      <c r="Y243">
        <f>IF(Table1[[#This Row],[hotwaterheating]]="yes", 1, 0)</f>
        <v>0</v>
      </c>
      <c r="Z243">
        <f>IF(Table1[[#This Row],[airconditioning]]="yes", 1, 0)</f>
        <v>0</v>
      </c>
      <c r="AA243">
        <v>2</v>
      </c>
      <c r="AB243">
        <f>IF(Table1[[#This Row],[prefarea]]= "yes", 1, 0)</f>
        <v>0</v>
      </c>
      <c r="AC243" s="1">
        <v>4550000</v>
      </c>
    </row>
    <row r="244" spans="1:29">
      <c r="A244">
        <v>3640</v>
      </c>
      <c r="B244" t="s">
        <v>15</v>
      </c>
      <c r="C244">
        <v>3</v>
      </c>
      <c r="D244">
        <v>1</v>
      </c>
      <c r="E244">
        <v>2</v>
      </c>
      <c r="F244" t="s">
        <v>13</v>
      </c>
      <c r="G244" t="s">
        <v>14</v>
      </c>
      <c r="H244" t="s">
        <v>14</v>
      </c>
      <c r="I244" t="s">
        <v>14</v>
      </c>
      <c r="J244" t="s">
        <v>13</v>
      </c>
      <c r="K244">
        <v>0</v>
      </c>
      <c r="L244" t="s">
        <v>14</v>
      </c>
      <c r="M244" s="1">
        <v>4550000</v>
      </c>
      <c r="P244">
        <v>3640</v>
      </c>
      <c r="Q244">
        <f>IF(Table1[[#This Row],[furnishingstatus]]="furnished", 1, 0)</f>
        <v>1</v>
      </c>
      <c r="R244">
        <f>IF(Table1[[#This Row],[furnishingstatus]]="semi-furnished", 1, 0)</f>
        <v>0</v>
      </c>
      <c r="S244">
        <v>3</v>
      </c>
      <c r="T244">
        <v>1</v>
      </c>
      <c r="U244">
        <v>2</v>
      </c>
      <c r="V244">
        <f>IF(Table1[[#This Row],[mainroad]] = "yes", 1, 0)</f>
        <v>1</v>
      </c>
      <c r="W244">
        <f>IF(Table1[[#This Row],[guestroom]]= "yes", 1, 0)</f>
        <v>0</v>
      </c>
      <c r="X244">
        <f>IF(Table1[[#This Row],[basement]]="yes", 1, 0)</f>
        <v>0</v>
      </c>
      <c r="Y244">
        <f>IF(Table1[[#This Row],[hotwaterheating]]="yes", 1, 0)</f>
        <v>0</v>
      </c>
      <c r="Z244">
        <f>IF(Table1[[#This Row],[airconditioning]]="yes", 1, 0)</f>
        <v>1</v>
      </c>
      <c r="AA244">
        <v>0</v>
      </c>
      <c r="AB244">
        <f>IF(Table1[[#This Row],[prefarea]]= "yes", 1, 0)</f>
        <v>0</v>
      </c>
      <c r="AC244" s="1">
        <v>4550000</v>
      </c>
    </row>
    <row r="245" spans="1:29">
      <c r="A245">
        <v>2550</v>
      </c>
      <c r="B245" t="s">
        <v>15</v>
      </c>
      <c r="C245">
        <v>3</v>
      </c>
      <c r="D245">
        <v>1</v>
      </c>
      <c r="E245">
        <v>2</v>
      </c>
      <c r="F245" t="s">
        <v>13</v>
      </c>
      <c r="G245" t="s">
        <v>14</v>
      </c>
      <c r="H245" t="s">
        <v>13</v>
      </c>
      <c r="I245" t="s">
        <v>14</v>
      </c>
      <c r="J245" t="s">
        <v>14</v>
      </c>
      <c r="K245">
        <v>0</v>
      </c>
      <c r="L245" t="s">
        <v>14</v>
      </c>
      <c r="M245" s="1">
        <v>4550000</v>
      </c>
      <c r="P245">
        <v>2550</v>
      </c>
      <c r="Q245">
        <f>IF(Table1[[#This Row],[furnishingstatus]]="furnished", 1, 0)</f>
        <v>1</v>
      </c>
      <c r="R245">
        <f>IF(Table1[[#This Row],[furnishingstatus]]="semi-furnished", 1, 0)</f>
        <v>0</v>
      </c>
      <c r="S245">
        <v>3</v>
      </c>
      <c r="T245">
        <v>1</v>
      </c>
      <c r="U245">
        <v>2</v>
      </c>
      <c r="V245">
        <f>IF(Table1[[#This Row],[mainroad]] = "yes", 1, 0)</f>
        <v>1</v>
      </c>
      <c r="W245">
        <f>IF(Table1[[#This Row],[guestroom]]= "yes", 1, 0)</f>
        <v>0</v>
      </c>
      <c r="X245">
        <f>IF(Table1[[#This Row],[basement]]="yes", 1, 0)</f>
        <v>1</v>
      </c>
      <c r="Y245">
        <f>IF(Table1[[#This Row],[hotwaterheating]]="yes", 1, 0)</f>
        <v>0</v>
      </c>
      <c r="Z245">
        <f>IF(Table1[[#This Row],[airconditioning]]="yes", 1, 0)</f>
        <v>0</v>
      </c>
      <c r="AA245">
        <v>0</v>
      </c>
      <c r="AB245">
        <f>IF(Table1[[#This Row],[prefarea]]= "yes", 1, 0)</f>
        <v>0</v>
      </c>
      <c r="AC245" s="1">
        <v>4550000</v>
      </c>
    </row>
    <row r="246" spans="1:29">
      <c r="A246">
        <v>5320</v>
      </c>
      <c r="B246" t="s">
        <v>16</v>
      </c>
      <c r="C246">
        <v>3</v>
      </c>
      <c r="D246">
        <v>1</v>
      </c>
      <c r="E246">
        <v>2</v>
      </c>
      <c r="F246" t="s">
        <v>13</v>
      </c>
      <c r="G246" t="s">
        <v>13</v>
      </c>
      <c r="H246" t="s">
        <v>13</v>
      </c>
      <c r="I246" t="s">
        <v>14</v>
      </c>
      <c r="J246" t="s">
        <v>14</v>
      </c>
      <c r="K246">
        <v>0</v>
      </c>
      <c r="L246" t="s">
        <v>13</v>
      </c>
      <c r="M246" s="1">
        <v>4550000</v>
      </c>
      <c r="P246">
        <v>5320</v>
      </c>
      <c r="Q246">
        <f>IF(Table1[[#This Row],[furnishingstatus]]="furnished", 1, 0)</f>
        <v>0</v>
      </c>
      <c r="R246">
        <f>IF(Table1[[#This Row],[furnishingstatus]]="semi-furnished", 1, 0)</f>
        <v>1</v>
      </c>
      <c r="S246">
        <v>3</v>
      </c>
      <c r="T246">
        <v>1</v>
      </c>
      <c r="U246">
        <v>2</v>
      </c>
      <c r="V246">
        <f>IF(Table1[[#This Row],[mainroad]] = "yes", 1, 0)</f>
        <v>1</v>
      </c>
      <c r="W246">
        <f>IF(Table1[[#This Row],[guestroom]]= "yes", 1, 0)</f>
        <v>1</v>
      </c>
      <c r="X246">
        <f>IF(Table1[[#This Row],[basement]]="yes", 1, 0)</f>
        <v>1</v>
      </c>
      <c r="Y246">
        <f>IF(Table1[[#This Row],[hotwaterheating]]="yes", 1, 0)</f>
        <v>0</v>
      </c>
      <c r="Z246">
        <f>IF(Table1[[#This Row],[airconditioning]]="yes", 1, 0)</f>
        <v>0</v>
      </c>
      <c r="AA246">
        <v>0</v>
      </c>
      <c r="AB246">
        <f>IF(Table1[[#This Row],[prefarea]]= "yes", 1, 0)</f>
        <v>1</v>
      </c>
      <c r="AC246" s="1">
        <v>4550000</v>
      </c>
    </row>
    <row r="247" spans="1:29">
      <c r="A247">
        <v>5360</v>
      </c>
      <c r="B247" t="s">
        <v>17</v>
      </c>
      <c r="C247">
        <v>3</v>
      </c>
      <c r="D247">
        <v>1</v>
      </c>
      <c r="E247">
        <v>2</v>
      </c>
      <c r="F247" t="s">
        <v>13</v>
      </c>
      <c r="G247" t="s">
        <v>14</v>
      </c>
      <c r="H247" t="s">
        <v>14</v>
      </c>
      <c r="I247" t="s">
        <v>14</v>
      </c>
      <c r="J247" t="s">
        <v>14</v>
      </c>
      <c r="K247">
        <v>2</v>
      </c>
      <c r="L247" t="s">
        <v>13</v>
      </c>
      <c r="M247" s="1">
        <v>4550000</v>
      </c>
      <c r="P247">
        <v>5360</v>
      </c>
      <c r="Q247">
        <f>IF(Table1[[#This Row],[furnishingstatus]]="furnished", 1, 0)</f>
        <v>0</v>
      </c>
      <c r="R247">
        <f>IF(Table1[[#This Row],[furnishingstatus]]="semi-furnished", 1, 0)</f>
        <v>0</v>
      </c>
      <c r="S247">
        <v>3</v>
      </c>
      <c r="T247">
        <v>1</v>
      </c>
      <c r="U247">
        <v>2</v>
      </c>
      <c r="V247">
        <f>IF(Table1[[#This Row],[mainroad]] = "yes", 1, 0)</f>
        <v>1</v>
      </c>
      <c r="W247">
        <f>IF(Table1[[#This Row],[guestroom]]= "yes", 1, 0)</f>
        <v>0</v>
      </c>
      <c r="X247">
        <f>IF(Table1[[#This Row],[basement]]="yes", 1, 0)</f>
        <v>0</v>
      </c>
      <c r="Y247">
        <f>IF(Table1[[#This Row],[hotwaterheating]]="yes", 1, 0)</f>
        <v>0</v>
      </c>
      <c r="Z247">
        <f>IF(Table1[[#This Row],[airconditioning]]="yes", 1, 0)</f>
        <v>0</v>
      </c>
      <c r="AA247">
        <v>2</v>
      </c>
      <c r="AB247">
        <f>IF(Table1[[#This Row],[prefarea]]= "yes", 1, 0)</f>
        <v>1</v>
      </c>
      <c r="AC247" s="1">
        <v>4550000</v>
      </c>
    </row>
    <row r="248" spans="1:29">
      <c r="A248">
        <v>3520</v>
      </c>
      <c r="B248" t="s">
        <v>16</v>
      </c>
      <c r="C248">
        <v>3</v>
      </c>
      <c r="D248">
        <v>1</v>
      </c>
      <c r="E248">
        <v>1</v>
      </c>
      <c r="F248" t="s">
        <v>13</v>
      </c>
      <c r="G248" t="s">
        <v>14</v>
      </c>
      <c r="H248" t="s">
        <v>14</v>
      </c>
      <c r="I248" t="s">
        <v>14</v>
      </c>
      <c r="J248" t="s">
        <v>14</v>
      </c>
      <c r="K248">
        <v>0</v>
      </c>
      <c r="L248" t="s">
        <v>13</v>
      </c>
      <c r="M248" s="1">
        <v>4550000</v>
      </c>
      <c r="P248">
        <v>3520</v>
      </c>
      <c r="Q248">
        <f>IF(Table1[[#This Row],[furnishingstatus]]="furnished", 1, 0)</f>
        <v>0</v>
      </c>
      <c r="R248">
        <f>IF(Table1[[#This Row],[furnishingstatus]]="semi-furnished", 1, 0)</f>
        <v>1</v>
      </c>
      <c r="S248">
        <v>3</v>
      </c>
      <c r="T248">
        <v>1</v>
      </c>
      <c r="U248">
        <v>1</v>
      </c>
      <c r="V248">
        <f>IF(Table1[[#This Row],[mainroad]] = "yes", 1, 0)</f>
        <v>1</v>
      </c>
      <c r="W248">
        <f>IF(Table1[[#This Row],[guestroom]]= "yes", 1, 0)</f>
        <v>0</v>
      </c>
      <c r="X248">
        <f>IF(Table1[[#This Row],[basement]]="yes", 1, 0)</f>
        <v>0</v>
      </c>
      <c r="Y248">
        <f>IF(Table1[[#This Row],[hotwaterheating]]="yes", 1, 0)</f>
        <v>0</v>
      </c>
      <c r="Z248">
        <f>IF(Table1[[#This Row],[airconditioning]]="yes", 1, 0)</f>
        <v>0</v>
      </c>
      <c r="AA248">
        <v>0</v>
      </c>
      <c r="AB248">
        <f>IF(Table1[[#This Row],[prefarea]]= "yes", 1, 0)</f>
        <v>1</v>
      </c>
      <c r="AC248" s="1">
        <v>4550000</v>
      </c>
    </row>
    <row r="249" spans="1:29">
      <c r="A249">
        <v>8400</v>
      </c>
      <c r="B249" t="s">
        <v>17</v>
      </c>
      <c r="C249">
        <v>4</v>
      </c>
      <c r="D249">
        <v>1</v>
      </c>
      <c r="E249">
        <v>4</v>
      </c>
      <c r="F249" t="s">
        <v>13</v>
      </c>
      <c r="G249" t="s">
        <v>14</v>
      </c>
      <c r="H249" t="s">
        <v>14</v>
      </c>
      <c r="I249" t="s">
        <v>14</v>
      </c>
      <c r="J249" t="s">
        <v>14</v>
      </c>
      <c r="K249">
        <v>3</v>
      </c>
      <c r="L249" t="s">
        <v>14</v>
      </c>
      <c r="M249" s="1">
        <v>4550000</v>
      </c>
      <c r="P249">
        <v>8400</v>
      </c>
      <c r="Q249">
        <f>IF(Table1[[#This Row],[furnishingstatus]]="furnished", 1, 0)</f>
        <v>0</v>
      </c>
      <c r="R249">
        <f>IF(Table1[[#This Row],[furnishingstatus]]="semi-furnished", 1, 0)</f>
        <v>0</v>
      </c>
      <c r="S249">
        <v>4</v>
      </c>
      <c r="T249">
        <v>1</v>
      </c>
      <c r="U249">
        <v>4</v>
      </c>
      <c r="V249">
        <f>IF(Table1[[#This Row],[mainroad]] = "yes", 1, 0)</f>
        <v>1</v>
      </c>
      <c r="W249">
        <f>IF(Table1[[#This Row],[guestroom]]= "yes", 1, 0)</f>
        <v>0</v>
      </c>
      <c r="X249">
        <f>IF(Table1[[#This Row],[basement]]="yes", 1, 0)</f>
        <v>0</v>
      </c>
      <c r="Y249">
        <f>IF(Table1[[#This Row],[hotwaterheating]]="yes", 1, 0)</f>
        <v>0</v>
      </c>
      <c r="Z249">
        <f>IF(Table1[[#This Row],[airconditioning]]="yes", 1, 0)</f>
        <v>0</v>
      </c>
      <c r="AA249">
        <v>3</v>
      </c>
      <c r="AB249">
        <f>IF(Table1[[#This Row],[prefarea]]= "yes", 1, 0)</f>
        <v>0</v>
      </c>
      <c r="AC249" s="1">
        <v>4550000</v>
      </c>
    </row>
    <row r="250" spans="1:29">
      <c r="A250">
        <v>4100</v>
      </c>
      <c r="B250" t="s">
        <v>16</v>
      </c>
      <c r="C250">
        <v>2</v>
      </c>
      <c r="D250">
        <v>2</v>
      </c>
      <c r="E250">
        <v>1</v>
      </c>
      <c r="F250" t="s">
        <v>13</v>
      </c>
      <c r="G250" t="s">
        <v>13</v>
      </c>
      <c r="H250" t="s">
        <v>13</v>
      </c>
      <c r="I250" t="s">
        <v>14</v>
      </c>
      <c r="J250" t="s">
        <v>14</v>
      </c>
      <c r="K250">
        <v>0</v>
      </c>
      <c r="L250" t="s">
        <v>14</v>
      </c>
      <c r="M250" s="1">
        <v>4543000</v>
      </c>
      <c r="P250">
        <v>4100</v>
      </c>
      <c r="Q250">
        <f>IF(Table1[[#This Row],[furnishingstatus]]="furnished", 1, 0)</f>
        <v>0</v>
      </c>
      <c r="R250">
        <f>IF(Table1[[#This Row],[furnishingstatus]]="semi-furnished", 1, 0)</f>
        <v>1</v>
      </c>
      <c r="S250">
        <v>2</v>
      </c>
      <c r="T250">
        <v>2</v>
      </c>
      <c r="U250">
        <v>1</v>
      </c>
      <c r="V250">
        <f>IF(Table1[[#This Row],[mainroad]] = "yes", 1, 0)</f>
        <v>1</v>
      </c>
      <c r="W250">
        <f>IF(Table1[[#This Row],[guestroom]]= "yes", 1, 0)</f>
        <v>1</v>
      </c>
      <c r="X250">
        <f>IF(Table1[[#This Row],[basement]]="yes", 1, 0)</f>
        <v>1</v>
      </c>
      <c r="Y250">
        <f>IF(Table1[[#This Row],[hotwaterheating]]="yes", 1, 0)</f>
        <v>0</v>
      </c>
      <c r="Z250">
        <f>IF(Table1[[#This Row],[airconditioning]]="yes", 1, 0)</f>
        <v>0</v>
      </c>
      <c r="AA250">
        <v>0</v>
      </c>
      <c r="AB250">
        <f>IF(Table1[[#This Row],[prefarea]]= "yes", 1, 0)</f>
        <v>0</v>
      </c>
      <c r="AC250" s="1">
        <v>4543000</v>
      </c>
    </row>
    <row r="251" spans="1:29">
      <c r="A251">
        <v>4990</v>
      </c>
      <c r="B251" t="s">
        <v>15</v>
      </c>
      <c r="C251">
        <v>4</v>
      </c>
      <c r="D251">
        <v>2</v>
      </c>
      <c r="E251">
        <v>2</v>
      </c>
      <c r="F251" t="s">
        <v>13</v>
      </c>
      <c r="G251" t="s">
        <v>13</v>
      </c>
      <c r="H251" t="s">
        <v>13</v>
      </c>
      <c r="I251" t="s">
        <v>14</v>
      </c>
      <c r="J251" t="s">
        <v>14</v>
      </c>
      <c r="K251">
        <v>0</v>
      </c>
      <c r="L251" t="s">
        <v>13</v>
      </c>
      <c r="M251" s="1">
        <v>4543000</v>
      </c>
      <c r="P251">
        <v>4990</v>
      </c>
      <c r="Q251">
        <f>IF(Table1[[#This Row],[furnishingstatus]]="furnished", 1, 0)</f>
        <v>1</v>
      </c>
      <c r="R251">
        <f>IF(Table1[[#This Row],[furnishingstatus]]="semi-furnished", 1, 0)</f>
        <v>0</v>
      </c>
      <c r="S251">
        <v>4</v>
      </c>
      <c r="T251">
        <v>2</v>
      </c>
      <c r="U251">
        <v>2</v>
      </c>
      <c r="V251">
        <f>IF(Table1[[#This Row],[mainroad]] = "yes", 1, 0)</f>
        <v>1</v>
      </c>
      <c r="W251">
        <f>IF(Table1[[#This Row],[guestroom]]= "yes", 1, 0)</f>
        <v>1</v>
      </c>
      <c r="X251">
        <f>IF(Table1[[#This Row],[basement]]="yes", 1, 0)</f>
        <v>1</v>
      </c>
      <c r="Y251">
        <f>IF(Table1[[#This Row],[hotwaterheating]]="yes", 1, 0)</f>
        <v>0</v>
      </c>
      <c r="Z251">
        <f>IF(Table1[[#This Row],[airconditioning]]="yes", 1, 0)</f>
        <v>0</v>
      </c>
      <c r="AA251">
        <v>0</v>
      </c>
      <c r="AB251">
        <f>IF(Table1[[#This Row],[prefarea]]= "yes", 1, 0)</f>
        <v>1</v>
      </c>
      <c r="AC251" s="1">
        <v>4543000</v>
      </c>
    </row>
    <row r="252" spans="1:29">
      <c r="A252">
        <v>3510</v>
      </c>
      <c r="B252" t="s">
        <v>16</v>
      </c>
      <c r="C252">
        <v>3</v>
      </c>
      <c r="D252">
        <v>1</v>
      </c>
      <c r="E252">
        <v>3</v>
      </c>
      <c r="F252" t="s">
        <v>13</v>
      </c>
      <c r="G252" t="s">
        <v>14</v>
      </c>
      <c r="H252" t="s">
        <v>14</v>
      </c>
      <c r="I252" t="s">
        <v>14</v>
      </c>
      <c r="J252" t="s">
        <v>14</v>
      </c>
      <c r="K252">
        <v>0</v>
      </c>
      <c r="L252" t="s">
        <v>14</v>
      </c>
      <c r="M252" s="1">
        <v>4515000</v>
      </c>
      <c r="P252">
        <v>3510</v>
      </c>
      <c r="Q252">
        <f>IF(Table1[[#This Row],[furnishingstatus]]="furnished", 1, 0)</f>
        <v>0</v>
      </c>
      <c r="R252">
        <f>IF(Table1[[#This Row],[furnishingstatus]]="semi-furnished", 1, 0)</f>
        <v>1</v>
      </c>
      <c r="S252">
        <v>3</v>
      </c>
      <c r="T252">
        <v>1</v>
      </c>
      <c r="U252">
        <v>3</v>
      </c>
      <c r="V252">
        <f>IF(Table1[[#This Row],[mainroad]] = "yes", 1, 0)</f>
        <v>1</v>
      </c>
      <c r="W252">
        <f>IF(Table1[[#This Row],[guestroom]]= "yes", 1, 0)</f>
        <v>0</v>
      </c>
      <c r="X252">
        <f>IF(Table1[[#This Row],[basement]]="yes", 1, 0)</f>
        <v>0</v>
      </c>
      <c r="Y252">
        <f>IF(Table1[[#This Row],[hotwaterheating]]="yes", 1, 0)</f>
        <v>0</v>
      </c>
      <c r="Z252">
        <f>IF(Table1[[#This Row],[airconditioning]]="yes", 1, 0)</f>
        <v>0</v>
      </c>
      <c r="AA252">
        <v>0</v>
      </c>
      <c r="AB252">
        <f>IF(Table1[[#This Row],[prefarea]]= "yes", 1, 0)</f>
        <v>0</v>
      </c>
      <c r="AC252" s="1">
        <v>4515000</v>
      </c>
    </row>
    <row r="253" spans="1:29">
      <c r="A253">
        <v>3450</v>
      </c>
      <c r="B253" t="s">
        <v>16</v>
      </c>
      <c r="C253">
        <v>3</v>
      </c>
      <c r="D253">
        <v>1</v>
      </c>
      <c r="E253">
        <v>2</v>
      </c>
      <c r="F253" t="s">
        <v>13</v>
      </c>
      <c r="G253" t="s">
        <v>14</v>
      </c>
      <c r="H253" t="s">
        <v>13</v>
      </c>
      <c r="I253" t="s">
        <v>14</v>
      </c>
      <c r="J253" t="s">
        <v>14</v>
      </c>
      <c r="K253">
        <v>1</v>
      </c>
      <c r="L253" t="s">
        <v>14</v>
      </c>
      <c r="M253" s="1">
        <v>4515000</v>
      </c>
      <c r="P253">
        <v>3450</v>
      </c>
      <c r="Q253">
        <f>IF(Table1[[#This Row],[furnishingstatus]]="furnished", 1, 0)</f>
        <v>0</v>
      </c>
      <c r="R253">
        <f>IF(Table1[[#This Row],[furnishingstatus]]="semi-furnished", 1, 0)</f>
        <v>1</v>
      </c>
      <c r="S253">
        <v>3</v>
      </c>
      <c r="T253">
        <v>1</v>
      </c>
      <c r="U253">
        <v>2</v>
      </c>
      <c r="V253">
        <f>IF(Table1[[#This Row],[mainroad]] = "yes", 1, 0)</f>
        <v>1</v>
      </c>
      <c r="W253">
        <f>IF(Table1[[#This Row],[guestroom]]= "yes", 1, 0)</f>
        <v>0</v>
      </c>
      <c r="X253">
        <f>IF(Table1[[#This Row],[basement]]="yes", 1, 0)</f>
        <v>1</v>
      </c>
      <c r="Y253">
        <f>IF(Table1[[#This Row],[hotwaterheating]]="yes", 1, 0)</f>
        <v>0</v>
      </c>
      <c r="Z253">
        <f>IF(Table1[[#This Row],[airconditioning]]="yes", 1, 0)</f>
        <v>0</v>
      </c>
      <c r="AA253">
        <v>1</v>
      </c>
      <c r="AB253">
        <f>IF(Table1[[#This Row],[prefarea]]= "yes", 1, 0)</f>
        <v>0</v>
      </c>
      <c r="AC253" s="1">
        <v>4515000</v>
      </c>
    </row>
    <row r="254" spans="1:29">
      <c r="A254">
        <v>9860</v>
      </c>
      <c r="B254" t="s">
        <v>16</v>
      </c>
      <c r="C254">
        <v>3</v>
      </c>
      <c r="D254">
        <v>1</v>
      </c>
      <c r="E254">
        <v>1</v>
      </c>
      <c r="F254" t="s">
        <v>13</v>
      </c>
      <c r="G254" t="s">
        <v>14</v>
      </c>
      <c r="H254" t="s">
        <v>14</v>
      </c>
      <c r="I254" t="s">
        <v>14</v>
      </c>
      <c r="J254" t="s">
        <v>14</v>
      </c>
      <c r="K254">
        <v>0</v>
      </c>
      <c r="L254" t="s">
        <v>14</v>
      </c>
      <c r="M254" s="1">
        <v>4515000</v>
      </c>
      <c r="P254">
        <v>9860</v>
      </c>
      <c r="Q254">
        <f>IF(Table1[[#This Row],[furnishingstatus]]="furnished", 1, 0)</f>
        <v>0</v>
      </c>
      <c r="R254">
        <f>IF(Table1[[#This Row],[furnishingstatus]]="semi-furnished", 1, 0)</f>
        <v>1</v>
      </c>
      <c r="S254">
        <v>3</v>
      </c>
      <c r="T254">
        <v>1</v>
      </c>
      <c r="U254">
        <v>1</v>
      </c>
      <c r="V254">
        <f>IF(Table1[[#This Row],[mainroad]] = "yes", 1, 0)</f>
        <v>1</v>
      </c>
      <c r="W254">
        <f>IF(Table1[[#This Row],[guestroom]]= "yes", 1, 0)</f>
        <v>0</v>
      </c>
      <c r="X254">
        <f>IF(Table1[[#This Row],[basement]]="yes", 1, 0)</f>
        <v>0</v>
      </c>
      <c r="Y254">
        <f>IF(Table1[[#This Row],[hotwaterheating]]="yes", 1, 0)</f>
        <v>0</v>
      </c>
      <c r="Z254">
        <f>IF(Table1[[#This Row],[airconditioning]]="yes", 1, 0)</f>
        <v>0</v>
      </c>
      <c r="AA254">
        <v>0</v>
      </c>
      <c r="AB254">
        <f>IF(Table1[[#This Row],[prefarea]]= "yes", 1, 0)</f>
        <v>0</v>
      </c>
      <c r="AC254" s="1">
        <v>4515000</v>
      </c>
    </row>
    <row r="255" spans="1:29">
      <c r="A255">
        <v>3520</v>
      </c>
      <c r="B255" t="s">
        <v>15</v>
      </c>
      <c r="C255">
        <v>2</v>
      </c>
      <c r="D255">
        <v>1</v>
      </c>
      <c r="E255">
        <v>2</v>
      </c>
      <c r="F255" t="s">
        <v>13</v>
      </c>
      <c r="G255" t="s">
        <v>14</v>
      </c>
      <c r="H255" t="s">
        <v>14</v>
      </c>
      <c r="I255" t="s">
        <v>14</v>
      </c>
      <c r="J255" t="s">
        <v>14</v>
      </c>
      <c r="K255">
        <v>0</v>
      </c>
      <c r="L255" t="s">
        <v>13</v>
      </c>
      <c r="M255" s="1">
        <v>4515000</v>
      </c>
      <c r="P255">
        <v>3520</v>
      </c>
      <c r="Q255">
        <f>IF(Table1[[#This Row],[furnishingstatus]]="furnished", 1, 0)</f>
        <v>1</v>
      </c>
      <c r="R255">
        <f>IF(Table1[[#This Row],[furnishingstatus]]="semi-furnished", 1, 0)</f>
        <v>0</v>
      </c>
      <c r="S255">
        <v>2</v>
      </c>
      <c r="T255">
        <v>1</v>
      </c>
      <c r="U255">
        <v>2</v>
      </c>
      <c r="V255">
        <f>IF(Table1[[#This Row],[mainroad]] = "yes", 1, 0)</f>
        <v>1</v>
      </c>
      <c r="W255">
        <f>IF(Table1[[#This Row],[guestroom]]= "yes", 1, 0)</f>
        <v>0</v>
      </c>
      <c r="X255">
        <f>IF(Table1[[#This Row],[basement]]="yes", 1, 0)</f>
        <v>0</v>
      </c>
      <c r="Y255">
        <f>IF(Table1[[#This Row],[hotwaterheating]]="yes", 1, 0)</f>
        <v>0</v>
      </c>
      <c r="Z255">
        <f>IF(Table1[[#This Row],[airconditioning]]="yes", 1, 0)</f>
        <v>0</v>
      </c>
      <c r="AA255">
        <v>0</v>
      </c>
      <c r="AB255">
        <f>IF(Table1[[#This Row],[prefarea]]= "yes", 1, 0)</f>
        <v>1</v>
      </c>
      <c r="AC255" s="1">
        <v>4515000</v>
      </c>
    </row>
    <row r="256" spans="1:29">
      <c r="A256">
        <v>4510</v>
      </c>
      <c r="B256" t="s">
        <v>16</v>
      </c>
      <c r="C256">
        <v>4</v>
      </c>
      <c r="D256">
        <v>1</v>
      </c>
      <c r="E256">
        <v>2</v>
      </c>
      <c r="F256" t="s">
        <v>13</v>
      </c>
      <c r="G256" t="s">
        <v>14</v>
      </c>
      <c r="H256" t="s">
        <v>14</v>
      </c>
      <c r="I256" t="s">
        <v>14</v>
      </c>
      <c r="J256" t="s">
        <v>13</v>
      </c>
      <c r="K256">
        <v>2</v>
      </c>
      <c r="L256" t="s">
        <v>14</v>
      </c>
      <c r="M256" s="1">
        <v>4480000</v>
      </c>
      <c r="P256">
        <v>4510</v>
      </c>
      <c r="Q256">
        <f>IF(Table1[[#This Row],[furnishingstatus]]="furnished", 1, 0)</f>
        <v>0</v>
      </c>
      <c r="R256">
        <f>IF(Table1[[#This Row],[furnishingstatus]]="semi-furnished", 1, 0)</f>
        <v>1</v>
      </c>
      <c r="S256">
        <v>4</v>
      </c>
      <c r="T256">
        <v>1</v>
      </c>
      <c r="U256">
        <v>2</v>
      </c>
      <c r="V256">
        <f>IF(Table1[[#This Row],[mainroad]] = "yes", 1, 0)</f>
        <v>1</v>
      </c>
      <c r="W256">
        <f>IF(Table1[[#This Row],[guestroom]]= "yes", 1, 0)</f>
        <v>0</v>
      </c>
      <c r="X256">
        <f>IF(Table1[[#This Row],[basement]]="yes", 1, 0)</f>
        <v>0</v>
      </c>
      <c r="Y256">
        <f>IF(Table1[[#This Row],[hotwaterheating]]="yes", 1, 0)</f>
        <v>0</v>
      </c>
      <c r="Z256">
        <f>IF(Table1[[#This Row],[airconditioning]]="yes", 1, 0)</f>
        <v>1</v>
      </c>
      <c r="AA256">
        <v>2</v>
      </c>
      <c r="AB256">
        <f>IF(Table1[[#This Row],[prefarea]]= "yes", 1, 0)</f>
        <v>0</v>
      </c>
      <c r="AC256" s="1">
        <v>4480000</v>
      </c>
    </row>
    <row r="257" spans="1:29">
      <c r="A257">
        <v>5885</v>
      </c>
      <c r="B257" t="s">
        <v>17</v>
      </c>
      <c r="C257">
        <v>2</v>
      </c>
      <c r="D257">
        <v>1</v>
      </c>
      <c r="E257">
        <v>1</v>
      </c>
      <c r="F257" t="s">
        <v>13</v>
      </c>
      <c r="G257" t="s">
        <v>14</v>
      </c>
      <c r="H257" t="s">
        <v>14</v>
      </c>
      <c r="I257" t="s">
        <v>14</v>
      </c>
      <c r="J257" t="s">
        <v>13</v>
      </c>
      <c r="K257">
        <v>1</v>
      </c>
      <c r="L257" t="s">
        <v>14</v>
      </c>
      <c r="M257" s="1">
        <v>4480000</v>
      </c>
      <c r="P257">
        <v>5885</v>
      </c>
      <c r="Q257">
        <f>IF(Table1[[#This Row],[furnishingstatus]]="furnished", 1, 0)</f>
        <v>0</v>
      </c>
      <c r="R257">
        <f>IF(Table1[[#This Row],[furnishingstatus]]="semi-furnished", 1, 0)</f>
        <v>0</v>
      </c>
      <c r="S257">
        <v>2</v>
      </c>
      <c r="T257">
        <v>1</v>
      </c>
      <c r="U257">
        <v>1</v>
      </c>
      <c r="V257">
        <f>IF(Table1[[#This Row],[mainroad]] = "yes", 1, 0)</f>
        <v>1</v>
      </c>
      <c r="W257">
        <f>IF(Table1[[#This Row],[guestroom]]= "yes", 1, 0)</f>
        <v>0</v>
      </c>
      <c r="X257">
        <f>IF(Table1[[#This Row],[basement]]="yes", 1, 0)</f>
        <v>0</v>
      </c>
      <c r="Y257">
        <f>IF(Table1[[#This Row],[hotwaterheating]]="yes", 1, 0)</f>
        <v>0</v>
      </c>
      <c r="Z257">
        <f>IF(Table1[[#This Row],[airconditioning]]="yes", 1, 0)</f>
        <v>1</v>
      </c>
      <c r="AA257">
        <v>1</v>
      </c>
      <c r="AB257">
        <f>IF(Table1[[#This Row],[prefarea]]= "yes", 1, 0)</f>
        <v>0</v>
      </c>
      <c r="AC257" s="1">
        <v>4480000</v>
      </c>
    </row>
    <row r="258" spans="1:29">
      <c r="A258">
        <v>4000</v>
      </c>
      <c r="B258" t="s">
        <v>15</v>
      </c>
      <c r="C258">
        <v>3</v>
      </c>
      <c r="D258">
        <v>1</v>
      </c>
      <c r="E258">
        <v>2</v>
      </c>
      <c r="F258" t="s">
        <v>13</v>
      </c>
      <c r="G258" t="s">
        <v>14</v>
      </c>
      <c r="H258" t="s">
        <v>14</v>
      </c>
      <c r="I258" t="s">
        <v>14</v>
      </c>
      <c r="J258" t="s">
        <v>14</v>
      </c>
      <c r="K258">
        <v>2</v>
      </c>
      <c r="L258" t="s">
        <v>14</v>
      </c>
      <c r="M258" s="1">
        <v>4480000</v>
      </c>
      <c r="P258">
        <v>4000</v>
      </c>
      <c r="Q258">
        <f>IF(Table1[[#This Row],[furnishingstatus]]="furnished", 1, 0)</f>
        <v>1</v>
      </c>
      <c r="R258">
        <f>IF(Table1[[#This Row],[furnishingstatus]]="semi-furnished", 1, 0)</f>
        <v>0</v>
      </c>
      <c r="S258">
        <v>3</v>
      </c>
      <c r="T258">
        <v>1</v>
      </c>
      <c r="U258">
        <v>2</v>
      </c>
      <c r="V258">
        <f>IF(Table1[[#This Row],[mainroad]] = "yes", 1, 0)</f>
        <v>1</v>
      </c>
      <c r="W258">
        <f>IF(Table1[[#This Row],[guestroom]]= "yes", 1, 0)</f>
        <v>0</v>
      </c>
      <c r="X258">
        <f>IF(Table1[[#This Row],[basement]]="yes", 1, 0)</f>
        <v>0</v>
      </c>
      <c r="Y258">
        <f>IF(Table1[[#This Row],[hotwaterheating]]="yes", 1, 0)</f>
        <v>0</v>
      </c>
      <c r="Z258">
        <f>IF(Table1[[#This Row],[airconditioning]]="yes", 1, 0)</f>
        <v>0</v>
      </c>
      <c r="AA258">
        <v>2</v>
      </c>
      <c r="AB258">
        <f>IF(Table1[[#This Row],[prefarea]]= "yes", 1, 0)</f>
        <v>0</v>
      </c>
      <c r="AC258" s="1">
        <v>4480000</v>
      </c>
    </row>
    <row r="259" spans="1:29">
      <c r="A259">
        <v>8250</v>
      </c>
      <c r="B259" t="s">
        <v>15</v>
      </c>
      <c r="C259">
        <v>3</v>
      </c>
      <c r="D259">
        <v>1</v>
      </c>
      <c r="E259">
        <v>1</v>
      </c>
      <c r="F259" t="s">
        <v>13</v>
      </c>
      <c r="G259" t="s">
        <v>14</v>
      </c>
      <c r="H259" t="s">
        <v>14</v>
      </c>
      <c r="I259" t="s">
        <v>14</v>
      </c>
      <c r="J259" t="s">
        <v>14</v>
      </c>
      <c r="K259">
        <v>0</v>
      </c>
      <c r="L259" t="s">
        <v>14</v>
      </c>
      <c r="M259" s="1">
        <v>4480000</v>
      </c>
      <c r="P259">
        <v>8250</v>
      </c>
      <c r="Q259">
        <f>IF(Table1[[#This Row],[furnishingstatus]]="furnished", 1, 0)</f>
        <v>1</v>
      </c>
      <c r="R259">
        <f>IF(Table1[[#This Row],[furnishingstatus]]="semi-furnished", 1, 0)</f>
        <v>0</v>
      </c>
      <c r="S259">
        <v>3</v>
      </c>
      <c r="T259">
        <v>1</v>
      </c>
      <c r="U259">
        <v>1</v>
      </c>
      <c r="V259">
        <f>IF(Table1[[#This Row],[mainroad]] = "yes", 1, 0)</f>
        <v>1</v>
      </c>
      <c r="W259">
        <f>IF(Table1[[#This Row],[guestroom]]= "yes", 1, 0)</f>
        <v>0</v>
      </c>
      <c r="X259">
        <f>IF(Table1[[#This Row],[basement]]="yes", 1, 0)</f>
        <v>0</v>
      </c>
      <c r="Y259">
        <f>IF(Table1[[#This Row],[hotwaterheating]]="yes", 1, 0)</f>
        <v>0</v>
      </c>
      <c r="Z259">
        <f>IF(Table1[[#This Row],[airconditioning]]="yes", 1, 0)</f>
        <v>0</v>
      </c>
      <c r="AA259">
        <v>0</v>
      </c>
      <c r="AB259">
        <f>IF(Table1[[#This Row],[prefarea]]= "yes", 1, 0)</f>
        <v>0</v>
      </c>
      <c r="AC259" s="1">
        <v>4480000</v>
      </c>
    </row>
    <row r="260" spans="1:29">
      <c r="A260">
        <v>4040</v>
      </c>
      <c r="B260" t="s">
        <v>16</v>
      </c>
      <c r="C260">
        <v>3</v>
      </c>
      <c r="D260">
        <v>1</v>
      </c>
      <c r="E260">
        <v>2</v>
      </c>
      <c r="F260" t="s">
        <v>13</v>
      </c>
      <c r="G260" t="s">
        <v>14</v>
      </c>
      <c r="H260" t="s">
        <v>14</v>
      </c>
      <c r="I260" t="s">
        <v>14</v>
      </c>
      <c r="J260" t="s">
        <v>14</v>
      </c>
      <c r="K260">
        <v>1</v>
      </c>
      <c r="L260" t="s">
        <v>14</v>
      </c>
      <c r="M260" s="1">
        <v>4480000</v>
      </c>
      <c r="P260">
        <v>4040</v>
      </c>
      <c r="Q260">
        <f>IF(Table1[[#This Row],[furnishingstatus]]="furnished", 1, 0)</f>
        <v>0</v>
      </c>
      <c r="R260">
        <f>IF(Table1[[#This Row],[furnishingstatus]]="semi-furnished", 1, 0)</f>
        <v>1</v>
      </c>
      <c r="S260">
        <v>3</v>
      </c>
      <c r="T260">
        <v>1</v>
      </c>
      <c r="U260">
        <v>2</v>
      </c>
      <c r="V260">
        <f>IF(Table1[[#This Row],[mainroad]] = "yes", 1, 0)</f>
        <v>1</v>
      </c>
      <c r="W260">
        <f>IF(Table1[[#This Row],[guestroom]]= "yes", 1, 0)</f>
        <v>0</v>
      </c>
      <c r="X260">
        <f>IF(Table1[[#This Row],[basement]]="yes", 1, 0)</f>
        <v>0</v>
      </c>
      <c r="Y260">
        <f>IF(Table1[[#This Row],[hotwaterheating]]="yes", 1, 0)</f>
        <v>0</v>
      </c>
      <c r="Z260">
        <f>IF(Table1[[#This Row],[airconditioning]]="yes", 1, 0)</f>
        <v>0</v>
      </c>
      <c r="AA260">
        <v>1</v>
      </c>
      <c r="AB260">
        <f>IF(Table1[[#This Row],[prefarea]]= "yes", 1, 0)</f>
        <v>0</v>
      </c>
      <c r="AC260" s="1">
        <v>4480000</v>
      </c>
    </row>
    <row r="261" spans="1:29">
      <c r="A261">
        <v>6360</v>
      </c>
      <c r="B261" t="s">
        <v>15</v>
      </c>
      <c r="C261">
        <v>2</v>
      </c>
      <c r="D261">
        <v>1</v>
      </c>
      <c r="E261">
        <v>1</v>
      </c>
      <c r="F261" t="s">
        <v>13</v>
      </c>
      <c r="G261" t="s">
        <v>14</v>
      </c>
      <c r="H261" t="s">
        <v>13</v>
      </c>
      <c r="I261" t="s">
        <v>14</v>
      </c>
      <c r="J261" t="s">
        <v>13</v>
      </c>
      <c r="K261">
        <v>1</v>
      </c>
      <c r="L261" t="s">
        <v>14</v>
      </c>
      <c r="M261" s="1">
        <v>4473000</v>
      </c>
      <c r="P261">
        <v>6360</v>
      </c>
      <c r="Q261">
        <f>IF(Table1[[#This Row],[furnishingstatus]]="furnished", 1, 0)</f>
        <v>1</v>
      </c>
      <c r="R261">
        <f>IF(Table1[[#This Row],[furnishingstatus]]="semi-furnished", 1, 0)</f>
        <v>0</v>
      </c>
      <c r="S261">
        <v>2</v>
      </c>
      <c r="T261">
        <v>1</v>
      </c>
      <c r="U261">
        <v>1</v>
      </c>
      <c r="V261">
        <f>IF(Table1[[#This Row],[mainroad]] = "yes", 1, 0)</f>
        <v>1</v>
      </c>
      <c r="W261">
        <f>IF(Table1[[#This Row],[guestroom]]= "yes", 1, 0)</f>
        <v>0</v>
      </c>
      <c r="X261">
        <f>IF(Table1[[#This Row],[basement]]="yes", 1, 0)</f>
        <v>1</v>
      </c>
      <c r="Y261">
        <f>IF(Table1[[#This Row],[hotwaterheating]]="yes", 1, 0)</f>
        <v>0</v>
      </c>
      <c r="Z261">
        <f>IF(Table1[[#This Row],[airconditioning]]="yes", 1, 0)</f>
        <v>1</v>
      </c>
      <c r="AA261">
        <v>1</v>
      </c>
      <c r="AB261">
        <f>IF(Table1[[#This Row],[prefarea]]= "yes", 1, 0)</f>
        <v>0</v>
      </c>
      <c r="AC261" s="1">
        <v>4473000</v>
      </c>
    </row>
    <row r="262" spans="1:29">
      <c r="A262">
        <v>3162</v>
      </c>
      <c r="B262" t="s">
        <v>15</v>
      </c>
      <c r="C262">
        <v>3</v>
      </c>
      <c r="D262">
        <v>1</v>
      </c>
      <c r="E262">
        <v>2</v>
      </c>
      <c r="F262" t="s">
        <v>13</v>
      </c>
      <c r="G262" t="s">
        <v>14</v>
      </c>
      <c r="H262" t="s">
        <v>14</v>
      </c>
      <c r="I262" t="s">
        <v>14</v>
      </c>
      <c r="J262" t="s">
        <v>13</v>
      </c>
      <c r="K262">
        <v>1</v>
      </c>
      <c r="L262" t="s">
        <v>14</v>
      </c>
      <c r="M262" s="1">
        <v>4473000</v>
      </c>
      <c r="P262">
        <v>3162</v>
      </c>
      <c r="Q262">
        <f>IF(Table1[[#This Row],[furnishingstatus]]="furnished", 1, 0)</f>
        <v>1</v>
      </c>
      <c r="R262">
        <f>IF(Table1[[#This Row],[furnishingstatus]]="semi-furnished", 1, 0)</f>
        <v>0</v>
      </c>
      <c r="S262">
        <v>3</v>
      </c>
      <c r="T262">
        <v>1</v>
      </c>
      <c r="U262">
        <v>2</v>
      </c>
      <c r="V262">
        <f>IF(Table1[[#This Row],[mainroad]] = "yes", 1, 0)</f>
        <v>1</v>
      </c>
      <c r="W262">
        <f>IF(Table1[[#This Row],[guestroom]]= "yes", 1, 0)</f>
        <v>0</v>
      </c>
      <c r="X262">
        <f>IF(Table1[[#This Row],[basement]]="yes", 1, 0)</f>
        <v>0</v>
      </c>
      <c r="Y262">
        <f>IF(Table1[[#This Row],[hotwaterheating]]="yes", 1, 0)</f>
        <v>0</v>
      </c>
      <c r="Z262">
        <f>IF(Table1[[#This Row],[airconditioning]]="yes", 1, 0)</f>
        <v>1</v>
      </c>
      <c r="AA262">
        <v>1</v>
      </c>
      <c r="AB262">
        <f>IF(Table1[[#This Row],[prefarea]]= "yes", 1, 0)</f>
        <v>0</v>
      </c>
      <c r="AC262" s="1">
        <v>4473000</v>
      </c>
    </row>
    <row r="263" spans="1:29">
      <c r="A263">
        <v>3510</v>
      </c>
      <c r="B263" t="s">
        <v>16</v>
      </c>
      <c r="C263">
        <v>3</v>
      </c>
      <c r="D263">
        <v>1</v>
      </c>
      <c r="E263">
        <v>2</v>
      </c>
      <c r="F263" t="s">
        <v>13</v>
      </c>
      <c r="G263" t="s">
        <v>14</v>
      </c>
      <c r="H263" t="s">
        <v>14</v>
      </c>
      <c r="I263" t="s">
        <v>14</v>
      </c>
      <c r="J263" t="s">
        <v>14</v>
      </c>
      <c r="K263">
        <v>0</v>
      </c>
      <c r="L263" t="s">
        <v>14</v>
      </c>
      <c r="M263" s="1">
        <v>4473000</v>
      </c>
      <c r="P263">
        <v>3510</v>
      </c>
      <c r="Q263">
        <f>IF(Table1[[#This Row],[furnishingstatus]]="furnished", 1, 0)</f>
        <v>0</v>
      </c>
      <c r="R263">
        <f>IF(Table1[[#This Row],[furnishingstatus]]="semi-furnished", 1, 0)</f>
        <v>1</v>
      </c>
      <c r="S263">
        <v>3</v>
      </c>
      <c r="T263">
        <v>1</v>
      </c>
      <c r="U263">
        <v>2</v>
      </c>
      <c r="V263">
        <f>IF(Table1[[#This Row],[mainroad]] = "yes", 1, 0)</f>
        <v>1</v>
      </c>
      <c r="W263">
        <f>IF(Table1[[#This Row],[guestroom]]= "yes", 1, 0)</f>
        <v>0</v>
      </c>
      <c r="X263">
        <f>IF(Table1[[#This Row],[basement]]="yes", 1, 0)</f>
        <v>0</v>
      </c>
      <c r="Y263">
        <f>IF(Table1[[#This Row],[hotwaterheating]]="yes", 1, 0)</f>
        <v>0</v>
      </c>
      <c r="Z263">
        <f>IF(Table1[[#This Row],[airconditioning]]="yes", 1, 0)</f>
        <v>0</v>
      </c>
      <c r="AA263">
        <v>0</v>
      </c>
      <c r="AB263">
        <f>IF(Table1[[#This Row],[prefarea]]= "yes", 1, 0)</f>
        <v>0</v>
      </c>
      <c r="AC263" s="1">
        <v>4473000</v>
      </c>
    </row>
    <row r="264" spans="1:29">
      <c r="A264">
        <v>3750</v>
      </c>
      <c r="B264" t="s">
        <v>16</v>
      </c>
      <c r="C264">
        <v>2</v>
      </c>
      <c r="D264">
        <v>1</v>
      </c>
      <c r="E264">
        <v>1</v>
      </c>
      <c r="F264" t="s">
        <v>13</v>
      </c>
      <c r="G264" t="s">
        <v>13</v>
      </c>
      <c r="H264" t="s">
        <v>13</v>
      </c>
      <c r="I264" t="s">
        <v>14</v>
      </c>
      <c r="J264" t="s">
        <v>14</v>
      </c>
      <c r="K264">
        <v>0</v>
      </c>
      <c r="L264" t="s">
        <v>14</v>
      </c>
      <c r="M264" s="1">
        <v>4445000</v>
      </c>
      <c r="P264">
        <v>3750</v>
      </c>
      <c r="Q264">
        <f>IF(Table1[[#This Row],[furnishingstatus]]="furnished", 1, 0)</f>
        <v>0</v>
      </c>
      <c r="R264">
        <f>IF(Table1[[#This Row],[furnishingstatus]]="semi-furnished", 1, 0)</f>
        <v>1</v>
      </c>
      <c r="S264">
        <v>2</v>
      </c>
      <c r="T264">
        <v>1</v>
      </c>
      <c r="U264">
        <v>1</v>
      </c>
      <c r="V264">
        <f>IF(Table1[[#This Row],[mainroad]] = "yes", 1, 0)</f>
        <v>1</v>
      </c>
      <c r="W264">
        <f>IF(Table1[[#This Row],[guestroom]]= "yes", 1, 0)</f>
        <v>1</v>
      </c>
      <c r="X264">
        <f>IF(Table1[[#This Row],[basement]]="yes", 1, 0)</f>
        <v>1</v>
      </c>
      <c r="Y264">
        <f>IF(Table1[[#This Row],[hotwaterheating]]="yes", 1, 0)</f>
        <v>0</v>
      </c>
      <c r="Z264">
        <f>IF(Table1[[#This Row],[airconditioning]]="yes", 1, 0)</f>
        <v>0</v>
      </c>
      <c r="AA264">
        <v>0</v>
      </c>
      <c r="AB264">
        <f>IF(Table1[[#This Row],[prefarea]]= "yes", 1, 0)</f>
        <v>0</v>
      </c>
      <c r="AC264" s="1">
        <v>4445000</v>
      </c>
    </row>
    <row r="265" spans="1:29">
      <c r="A265">
        <v>3968</v>
      </c>
      <c r="B265" t="s">
        <v>16</v>
      </c>
      <c r="C265">
        <v>3</v>
      </c>
      <c r="D265">
        <v>1</v>
      </c>
      <c r="E265">
        <v>2</v>
      </c>
      <c r="F265" t="s">
        <v>14</v>
      </c>
      <c r="G265" t="s">
        <v>14</v>
      </c>
      <c r="H265" t="s">
        <v>14</v>
      </c>
      <c r="I265" t="s">
        <v>14</v>
      </c>
      <c r="J265" t="s">
        <v>14</v>
      </c>
      <c r="K265">
        <v>0</v>
      </c>
      <c r="L265" t="s">
        <v>14</v>
      </c>
      <c r="M265" s="1">
        <v>4410000</v>
      </c>
      <c r="P265">
        <v>3968</v>
      </c>
      <c r="Q265">
        <f>IF(Table1[[#This Row],[furnishingstatus]]="furnished", 1, 0)</f>
        <v>0</v>
      </c>
      <c r="R265">
        <f>IF(Table1[[#This Row],[furnishingstatus]]="semi-furnished", 1, 0)</f>
        <v>1</v>
      </c>
      <c r="S265">
        <v>3</v>
      </c>
      <c r="T265">
        <v>1</v>
      </c>
      <c r="U265">
        <v>2</v>
      </c>
      <c r="V265">
        <f>IF(Table1[[#This Row],[mainroad]] = "yes", 1, 0)</f>
        <v>0</v>
      </c>
      <c r="W265">
        <f>IF(Table1[[#This Row],[guestroom]]= "yes", 1, 0)</f>
        <v>0</v>
      </c>
      <c r="X265">
        <f>IF(Table1[[#This Row],[basement]]="yes", 1, 0)</f>
        <v>0</v>
      </c>
      <c r="Y265">
        <f>IF(Table1[[#This Row],[hotwaterheating]]="yes", 1, 0)</f>
        <v>0</v>
      </c>
      <c r="Z265">
        <f>IF(Table1[[#This Row],[airconditioning]]="yes", 1, 0)</f>
        <v>0</v>
      </c>
      <c r="AA265">
        <v>0</v>
      </c>
      <c r="AB265">
        <f>IF(Table1[[#This Row],[prefarea]]= "yes", 1, 0)</f>
        <v>0</v>
      </c>
      <c r="AC265" s="1">
        <v>4410000</v>
      </c>
    </row>
    <row r="266" spans="1:29">
      <c r="A266">
        <v>4900</v>
      </c>
      <c r="B266" t="s">
        <v>16</v>
      </c>
      <c r="C266">
        <v>2</v>
      </c>
      <c r="D266">
        <v>1</v>
      </c>
      <c r="E266">
        <v>2</v>
      </c>
      <c r="F266" t="s">
        <v>13</v>
      </c>
      <c r="G266" t="s">
        <v>14</v>
      </c>
      <c r="H266" t="s">
        <v>13</v>
      </c>
      <c r="I266" t="s">
        <v>14</v>
      </c>
      <c r="J266" t="s">
        <v>14</v>
      </c>
      <c r="K266">
        <v>0</v>
      </c>
      <c r="L266" t="s">
        <v>14</v>
      </c>
      <c r="M266" s="1">
        <v>4410000</v>
      </c>
      <c r="P266">
        <v>4900</v>
      </c>
      <c r="Q266">
        <f>IF(Table1[[#This Row],[furnishingstatus]]="furnished", 1, 0)</f>
        <v>0</v>
      </c>
      <c r="R266">
        <f>IF(Table1[[#This Row],[furnishingstatus]]="semi-furnished", 1, 0)</f>
        <v>1</v>
      </c>
      <c r="S266">
        <v>2</v>
      </c>
      <c r="T266">
        <v>1</v>
      </c>
      <c r="U266">
        <v>2</v>
      </c>
      <c r="V266">
        <f>IF(Table1[[#This Row],[mainroad]] = "yes", 1, 0)</f>
        <v>1</v>
      </c>
      <c r="W266">
        <f>IF(Table1[[#This Row],[guestroom]]= "yes", 1, 0)</f>
        <v>0</v>
      </c>
      <c r="X266">
        <f>IF(Table1[[#This Row],[basement]]="yes", 1, 0)</f>
        <v>1</v>
      </c>
      <c r="Y266">
        <f>IF(Table1[[#This Row],[hotwaterheating]]="yes", 1, 0)</f>
        <v>0</v>
      </c>
      <c r="Z266">
        <f>IF(Table1[[#This Row],[airconditioning]]="yes", 1, 0)</f>
        <v>0</v>
      </c>
      <c r="AA266">
        <v>0</v>
      </c>
      <c r="AB266">
        <f>IF(Table1[[#This Row],[prefarea]]= "yes", 1, 0)</f>
        <v>0</v>
      </c>
      <c r="AC266" s="1">
        <v>4410000</v>
      </c>
    </row>
    <row r="267" spans="1:29">
      <c r="A267">
        <v>2880</v>
      </c>
      <c r="B267" t="s">
        <v>16</v>
      </c>
      <c r="C267">
        <v>3</v>
      </c>
      <c r="D267">
        <v>1</v>
      </c>
      <c r="E267">
        <v>2</v>
      </c>
      <c r="F267" t="s">
        <v>13</v>
      </c>
      <c r="G267" t="s">
        <v>14</v>
      </c>
      <c r="H267" t="s">
        <v>14</v>
      </c>
      <c r="I267" t="s">
        <v>14</v>
      </c>
      <c r="J267" t="s">
        <v>14</v>
      </c>
      <c r="K267">
        <v>0</v>
      </c>
      <c r="L267" t="s">
        <v>13</v>
      </c>
      <c r="M267" s="1">
        <v>4403000</v>
      </c>
      <c r="P267">
        <v>2880</v>
      </c>
      <c r="Q267">
        <f>IF(Table1[[#This Row],[furnishingstatus]]="furnished", 1, 0)</f>
        <v>0</v>
      </c>
      <c r="R267">
        <f>IF(Table1[[#This Row],[furnishingstatus]]="semi-furnished", 1, 0)</f>
        <v>1</v>
      </c>
      <c r="S267">
        <v>3</v>
      </c>
      <c r="T267">
        <v>1</v>
      </c>
      <c r="U267">
        <v>2</v>
      </c>
      <c r="V267">
        <f>IF(Table1[[#This Row],[mainroad]] = "yes", 1, 0)</f>
        <v>1</v>
      </c>
      <c r="W267">
        <f>IF(Table1[[#This Row],[guestroom]]= "yes", 1, 0)</f>
        <v>0</v>
      </c>
      <c r="X267">
        <f>IF(Table1[[#This Row],[basement]]="yes", 1, 0)</f>
        <v>0</v>
      </c>
      <c r="Y267">
        <f>IF(Table1[[#This Row],[hotwaterheating]]="yes", 1, 0)</f>
        <v>0</v>
      </c>
      <c r="Z267">
        <f>IF(Table1[[#This Row],[airconditioning]]="yes", 1, 0)</f>
        <v>0</v>
      </c>
      <c r="AA267">
        <v>0</v>
      </c>
      <c r="AB267">
        <f>IF(Table1[[#This Row],[prefarea]]= "yes", 1, 0)</f>
        <v>1</v>
      </c>
      <c r="AC267" s="1">
        <v>4403000</v>
      </c>
    </row>
    <row r="268" spans="1:29">
      <c r="A268">
        <v>4880</v>
      </c>
      <c r="B268" t="s">
        <v>17</v>
      </c>
      <c r="C268">
        <v>3</v>
      </c>
      <c r="D268">
        <v>1</v>
      </c>
      <c r="E268">
        <v>1</v>
      </c>
      <c r="F268" t="s">
        <v>13</v>
      </c>
      <c r="G268" t="s">
        <v>14</v>
      </c>
      <c r="H268" t="s">
        <v>14</v>
      </c>
      <c r="I268" t="s">
        <v>14</v>
      </c>
      <c r="J268" t="s">
        <v>14</v>
      </c>
      <c r="K268">
        <v>2</v>
      </c>
      <c r="L268" t="s">
        <v>13</v>
      </c>
      <c r="M268" s="1">
        <v>4403000</v>
      </c>
      <c r="P268">
        <v>4880</v>
      </c>
      <c r="Q268">
        <f>IF(Table1[[#This Row],[furnishingstatus]]="furnished", 1, 0)</f>
        <v>0</v>
      </c>
      <c r="R268">
        <f>IF(Table1[[#This Row],[furnishingstatus]]="semi-furnished", 1, 0)</f>
        <v>0</v>
      </c>
      <c r="S268">
        <v>3</v>
      </c>
      <c r="T268">
        <v>1</v>
      </c>
      <c r="U268">
        <v>1</v>
      </c>
      <c r="V268">
        <f>IF(Table1[[#This Row],[mainroad]] = "yes", 1, 0)</f>
        <v>1</v>
      </c>
      <c r="W268">
        <f>IF(Table1[[#This Row],[guestroom]]= "yes", 1, 0)</f>
        <v>0</v>
      </c>
      <c r="X268">
        <f>IF(Table1[[#This Row],[basement]]="yes", 1, 0)</f>
        <v>0</v>
      </c>
      <c r="Y268">
        <f>IF(Table1[[#This Row],[hotwaterheating]]="yes", 1, 0)</f>
        <v>0</v>
      </c>
      <c r="Z268">
        <f>IF(Table1[[#This Row],[airconditioning]]="yes", 1, 0)</f>
        <v>0</v>
      </c>
      <c r="AA268">
        <v>2</v>
      </c>
      <c r="AB268">
        <f>IF(Table1[[#This Row],[prefarea]]= "yes", 1, 0)</f>
        <v>1</v>
      </c>
      <c r="AC268" s="1">
        <v>4403000</v>
      </c>
    </row>
    <row r="269" spans="1:29">
      <c r="A269">
        <v>4920</v>
      </c>
      <c r="B269" t="s">
        <v>16</v>
      </c>
      <c r="C269">
        <v>3</v>
      </c>
      <c r="D269">
        <v>1</v>
      </c>
      <c r="E269">
        <v>2</v>
      </c>
      <c r="F269" t="s">
        <v>13</v>
      </c>
      <c r="G269" t="s">
        <v>14</v>
      </c>
      <c r="H269" t="s">
        <v>14</v>
      </c>
      <c r="I269" t="s">
        <v>14</v>
      </c>
      <c r="J269" t="s">
        <v>14</v>
      </c>
      <c r="K269">
        <v>1</v>
      </c>
      <c r="L269" t="s">
        <v>14</v>
      </c>
      <c r="M269" s="1">
        <v>4403000</v>
      </c>
      <c r="P269">
        <v>4920</v>
      </c>
      <c r="Q269">
        <f>IF(Table1[[#This Row],[furnishingstatus]]="furnished", 1, 0)</f>
        <v>0</v>
      </c>
      <c r="R269">
        <f>IF(Table1[[#This Row],[furnishingstatus]]="semi-furnished", 1, 0)</f>
        <v>1</v>
      </c>
      <c r="S269">
        <v>3</v>
      </c>
      <c r="T269">
        <v>1</v>
      </c>
      <c r="U269">
        <v>2</v>
      </c>
      <c r="V269">
        <f>IF(Table1[[#This Row],[mainroad]] = "yes", 1, 0)</f>
        <v>1</v>
      </c>
      <c r="W269">
        <f>IF(Table1[[#This Row],[guestroom]]= "yes", 1, 0)</f>
        <v>0</v>
      </c>
      <c r="X269">
        <f>IF(Table1[[#This Row],[basement]]="yes", 1, 0)</f>
        <v>0</v>
      </c>
      <c r="Y269">
        <f>IF(Table1[[#This Row],[hotwaterheating]]="yes", 1, 0)</f>
        <v>0</v>
      </c>
      <c r="Z269">
        <f>IF(Table1[[#This Row],[airconditioning]]="yes", 1, 0)</f>
        <v>0</v>
      </c>
      <c r="AA269">
        <v>1</v>
      </c>
      <c r="AB269">
        <f>IF(Table1[[#This Row],[prefarea]]= "yes", 1, 0)</f>
        <v>0</v>
      </c>
      <c r="AC269" s="1">
        <v>4403000</v>
      </c>
    </row>
    <row r="270" spans="1:29">
      <c r="A270">
        <v>4950</v>
      </c>
      <c r="B270" t="s">
        <v>16</v>
      </c>
      <c r="C270">
        <v>4</v>
      </c>
      <c r="D270">
        <v>1</v>
      </c>
      <c r="E270">
        <v>2</v>
      </c>
      <c r="F270" t="s">
        <v>13</v>
      </c>
      <c r="G270" t="s">
        <v>14</v>
      </c>
      <c r="H270" t="s">
        <v>14</v>
      </c>
      <c r="I270" t="s">
        <v>14</v>
      </c>
      <c r="J270" t="s">
        <v>13</v>
      </c>
      <c r="K270">
        <v>0</v>
      </c>
      <c r="L270" t="s">
        <v>14</v>
      </c>
      <c r="M270" s="1">
        <v>4382000</v>
      </c>
      <c r="P270">
        <v>4950</v>
      </c>
      <c r="Q270">
        <f>IF(Table1[[#This Row],[furnishingstatus]]="furnished", 1, 0)</f>
        <v>0</v>
      </c>
      <c r="R270">
        <f>IF(Table1[[#This Row],[furnishingstatus]]="semi-furnished", 1, 0)</f>
        <v>1</v>
      </c>
      <c r="S270">
        <v>4</v>
      </c>
      <c r="T270">
        <v>1</v>
      </c>
      <c r="U270">
        <v>2</v>
      </c>
      <c r="V270">
        <f>IF(Table1[[#This Row],[mainroad]] = "yes", 1, 0)</f>
        <v>1</v>
      </c>
      <c r="W270">
        <f>IF(Table1[[#This Row],[guestroom]]= "yes", 1, 0)</f>
        <v>0</v>
      </c>
      <c r="X270">
        <f>IF(Table1[[#This Row],[basement]]="yes", 1, 0)</f>
        <v>0</v>
      </c>
      <c r="Y270">
        <f>IF(Table1[[#This Row],[hotwaterheating]]="yes", 1, 0)</f>
        <v>0</v>
      </c>
      <c r="Z270">
        <f>IF(Table1[[#This Row],[airconditioning]]="yes", 1, 0)</f>
        <v>1</v>
      </c>
      <c r="AA270">
        <v>0</v>
      </c>
      <c r="AB270">
        <f>IF(Table1[[#This Row],[prefarea]]= "yes", 1, 0)</f>
        <v>0</v>
      </c>
      <c r="AC270" s="1">
        <v>4382000</v>
      </c>
    </row>
    <row r="271" spans="1:29">
      <c r="A271">
        <v>3900</v>
      </c>
      <c r="B271" t="s">
        <v>17</v>
      </c>
      <c r="C271">
        <v>3</v>
      </c>
      <c r="D271">
        <v>1</v>
      </c>
      <c r="E271">
        <v>2</v>
      </c>
      <c r="F271" t="s">
        <v>13</v>
      </c>
      <c r="G271" t="s">
        <v>14</v>
      </c>
      <c r="H271" t="s">
        <v>14</v>
      </c>
      <c r="I271" t="s">
        <v>14</v>
      </c>
      <c r="J271" t="s">
        <v>14</v>
      </c>
      <c r="K271">
        <v>0</v>
      </c>
      <c r="L271" t="s">
        <v>14</v>
      </c>
      <c r="M271" s="1">
        <v>4375000</v>
      </c>
      <c r="P271">
        <v>3900</v>
      </c>
      <c r="Q271">
        <f>IF(Table1[[#This Row],[furnishingstatus]]="furnished", 1, 0)</f>
        <v>0</v>
      </c>
      <c r="R271">
        <f>IF(Table1[[#This Row],[furnishingstatus]]="semi-furnished", 1, 0)</f>
        <v>0</v>
      </c>
      <c r="S271">
        <v>3</v>
      </c>
      <c r="T271">
        <v>1</v>
      </c>
      <c r="U271">
        <v>2</v>
      </c>
      <c r="V271">
        <f>IF(Table1[[#This Row],[mainroad]] = "yes", 1, 0)</f>
        <v>1</v>
      </c>
      <c r="W271">
        <f>IF(Table1[[#This Row],[guestroom]]= "yes", 1, 0)</f>
        <v>0</v>
      </c>
      <c r="X271">
        <f>IF(Table1[[#This Row],[basement]]="yes", 1, 0)</f>
        <v>0</v>
      </c>
      <c r="Y271">
        <f>IF(Table1[[#This Row],[hotwaterheating]]="yes", 1, 0)</f>
        <v>0</v>
      </c>
      <c r="Z271">
        <f>IF(Table1[[#This Row],[airconditioning]]="yes", 1, 0)</f>
        <v>0</v>
      </c>
      <c r="AA271">
        <v>0</v>
      </c>
      <c r="AB271">
        <f>IF(Table1[[#This Row],[prefarea]]= "yes", 1, 0)</f>
        <v>0</v>
      </c>
      <c r="AC271" s="1">
        <v>4375000</v>
      </c>
    </row>
    <row r="272" spans="1:29">
      <c r="A272">
        <v>4500</v>
      </c>
      <c r="B272" t="s">
        <v>15</v>
      </c>
      <c r="C272">
        <v>3</v>
      </c>
      <c r="D272">
        <v>2</v>
      </c>
      <c r="E272">
        <v>3</v>
      </c>
      <c r="F272" t="s">
        <v>13</v>
      </c>
      <c r="G272" t="s">
        <v>14</v>
      </c>
      <c r="H272" t="s">
        <v>14</v>
      </c>
      <c r="I272" t="s">
        <v>13</v>
      </c>
      <c r="J272" t="s">
        <v>14</v>
      </c>
      <c r="K272">
        <v>1</v>
      </c>
      <c r="L272" t="s">
        <v>14</v>
      </c>
      <c r="M272" s="1">
        <v>4340000</v>
      </c>
      <c r="P272">
        <v>4500</v>
      </c>
      <c r="Q272">
        <f>IF(Table1[[#This Row],[furnishingstatus]]="furnished", 1, 0)</f>
        <v>1</v>
      </c>
      <c r="R272">
        <f>IF(Table1[[#This Row],[furnishingstatus]]="semi-furnished", 1, 0)</f>
        <v>0</v>
      </c>
      <c r="S272">
        <v>3</v>
      </c>
      <c r="T272">
        <v>2</v>
      </c>
      <c r="U272">
        <v>3</v>
      </c>
      <c r="V272">
        <f>IF(Table1[[#This Row],[mainroad]] = "yes", 1, 0)</f>
        <v>1</v>
      </c>
      <c r="W272">
        <f>IF(Table1[[#This Row],[guestroom]]= "yes", 1, 0)</f>
        <v>0</v>
      </c>
      <c r="X272">
        <f>IF(Table1[[#This Row],[basement]]="yes", 1, 0)</f>
        <v>0</v>
      </c>
      <c r="Y272">
        <f>IF(Table1[[#This Row],[hotwaterheating]]="yes", 1, 0)</f>
        <v>1</v>
      </c>
      <c r="Z272">
        <f>IF(Table1[[#This Row],[airconditioning]]="yes", 1, 0)</f>
        <v>0</v>
      </c>
      <c r="AA272">
        <v>1</v>
      </c>
      <c r="AB272">
        <f>IF(Table1[[#This Row],[prefarea]]= "yes", 1, 0)</f>
        <v>0</v>
      </c>
      <c r="AC272" s="1">
        <v>4340000</v>
      </c>
    </row>
    <row r="273" spans="1:29">
      <c r="A273">
        <v>1905</v>
      </c>
      <c r="B273" t="s">
        <v>16</v>
      </c>
      <c r="C273">
        <v>5</v>
      </c>
      <c r="D273">
        <v>1</v>
      </c>
      <c r="E273">
        <v>2</v>
      </c>
      <c r="F273" t="s">
        <v>14</v>
      </c>
      <c r="G273" t="s">
        <v>14</v>
      </c>
      <c r="H273" t="s">
        <v>13</v>
      </c>
      <c r="I273" t="s">
        <v>14</v>
      </c>
      <c r="J273" t="s">
        <v>14</v>
      </c>
      <c r="K273">
        <v>0</v>
      </c>
      <c r="L273" t="s">
        <v>14</v>
      </c>
      <c r="M273" s="1">
        <v>4340000</v>
      </c>
      <c r="P273">
        <v>1905</v>
      </c>
      <c r="Q273">
        <f>IF(Table1[[#This Row],[furnishingstatus]]="furnished", 1, 0)</f>
        <v>0</v>
      </c>
      <c r="R273">
        <f>IF(Table1[[#This Row],[furnishingstatus]]="semi-furnished", 1, 0)</f>
        <v>1</v>
      </c>
      <c r="S273">
        <v>5</v>
      </c>
      <c r="T273">
        <v>1</v>
      </c>
      <c r="U273">
        <v>2</v>
      </c>
      <c r="V273">
        <f>IF(Table1[[#This Row],[mainroad]] = "yes", 1, 0)</f>
        <v>0</v>
      </c>
      <c r="W273">
        <f>IF(Table1[[#This Row],[guestroom]]= "yes", 1, 0)</f>
        <v>0</v>
      </c>
      <c r="X273">
        <f>IF(Table1[[#This Row],[basement]]="yes", 1, 0)</f>
        <v>1</v>
      </c>
      <c r="Y273">
        <f>IF(Table1[[#This Row],[hotwaterheating]]="yes", 1, 0)</f>
        <v>0</v>
      </c>
      <c r="Z273">
        <f>IF(Table1[[#This Row],[airconditioning]]="yes", 1, 0)</f>
        <v>0</v>
      </c>
      <c r="AA273">
        <v>0</v>
      </c>
      <c r="AB273">
        <f>IF(Table1[[#This Row],[prefarea]]= "yes", 1, 0)</f>
        <v>0</v>
      </c>
      <c r="AC273" s="1">
        <v>4340000</v>
      </c>
    </row>
    <row r="274" spans="1:29">
      <c r="A274">
        <v>4075</v>
      </c>
      <c r="B274" t="s">
        <v>16</v>
      </c>
      <c r="C274">
        <v>3</v>
      </c>
      <c r="D274">
        <v>1</v>
      </c>
      <c r="E274">
        <v>1</v>
      </c>
      <c r="F274" t="s">
        <v>13</v>
      </c>
      <c r="G274" t="s">
        <v>13</v>
      </c>
      <c r="H274" t="s">
        <v>13</v>
      </c>
      <c r="I274" t="s">
        <v>14</v>
      </c>
      <c r="J274" t="s">
        <v>14</v>
      </c>
      <c r="K274">
        <v>2</v>
      </c>
      <c r="L274" t="s">
        <v>14</v>
      </c>
      <c r="M274" s="1">
        <v>4340000</v>
      </c>
      <c r="P274">
        <v>4075</v>
      </c>
      <c r="Q274">
        <f>IF(Table1[[#This Row],[furnishingstatus]]="furnished", 1, 0)</f>
        <v>0</v>
      </c>
      <c r="R274">
        <f>IF(Table1[[#This Row],[furnishingstatus]]="semi-furnished", 1, 0)</f>
        <v>1</v>
      </c>
      <c r="S274">
        <v>3</v>
      </c>
      <c r="T274">
        <v>1</v>
      </c>
      <c r="U274">
        <v>1</v>
      </c>
      <c r="V274">
        <f>IF(Table1[[#This Row],[mainroad]] = "yes", 1, 0)</f>
        <v>1</v>
      </c>
      <c r="W274">
        <f>IF(Table1[[#This Row],[guestroom]]= "yes", 1, 0)</f>
        <v>1</v>
      </c>
      <c r="X274">
        <f>IF(Table1[[#This Row],[basement]]="yes", 1, 0)</f>
        <v>1</v>
      </c>
      <c r="Y274">
        <f>IF(Table1[[#This Row],[hotwaterheating]]="yes", 1, 0)</f>
        <v>0</v>
      </c>
      <c r="Z274">
        <f>IF(Table1[[#This Row],[airconditioning]]="yes", 1, 0)</f>
        <v>0</v>
      </c>
      <c r="AA274">
        <v>2</v>
      </c>
      <c r="AB274">
        <f>IF(Table1[[#This Row],[prefarea]]= "yes", 1, 0)</f>
        <v>0</v>
      </c>
      <c r="AC274" s="1">
        <v>4340000</v>
      </c>
    </row>
    <row r="275" spans="1:29">
      <c r="A275">
        <v>3500</v>
      </c>
      <c r="B275" t="s">
        <v>15</v>
      </c>
      <c r="C275">
        <v>4</v>
      </c>
      <c r="D275">
        <v>1</v>
      </c>
      <c r="E275">
        <v>2</v>
      </c>
      <c r="F275" t="s">
        <v>13</v>
      </c>
      <c r="G275" t="s">
        <v>14</v>
      </c>
      <c r="H275" t="s">
        <v>14</v>
      </c>
      <c r="I275" t="s">
        <v>14</v>
      </c>
      <c r="J275" t="s">
        <v>14</v>
      </c>
      <c r="K275">
        <v>2</v>
      </c>
      <c r="L275" t="s">
        <v>14</v>
      </c>
      <c r="M275" s="1">
        <v>4340000</v>
      </c>
      <c r="P275">
        <v>3500</v>
      </c>
      <c r="Q275">
        <f>IF(Table1[[#This Row],[furnishingstatus]]="furnished", 1, 0)</f>
        <v>1</v>
      </c>
      <c r="R275">
        <f>IF(Table1[[#This Row],[furnishingstatus]]="semi-furnished", 1, 0)</f>
        <v>0</v>
      </c>
      <c r="S275">
        <v>4</v>
      </c>
      <c r="T275">
        <v>1</v>
      </c>
      <c r="U275">
        <v>2</v>
      </c>
      <c r="V275">
        <f>IF(Table1[[#This Row],[mainroad]] = "yes", 1, 0)</f>
        <v>1</v>
      </c>
      <c r="W275">
        <f>IF(Table1[[#This Row],[guestroom]]= "yes", 1, 0)</f>
        <v>0</v>
      </c>
      <c r="X275">
        <f>IF(Table1[[#This Row],[basement]]="yes", 1, 0)</f>
        <v>0</v>
      </c>
      <c r="Y275">
        <f>IF(Table1[[#This Row],[hotwaterheating]]="yes", 1, 0)</f>
        <v>0</v>
      </c>
      <c r="Z275">
        <f>IF(Table1[[#This Row],[airconditioning]]="yes", 1, 0)</f>
        <v>0</v>
      </c>
      <c r="AA275">
        <v>2</v>
      </c>
      <c r="AB275">
        <f>IF(Table1[[#This Row],[prefarea]]= "yes", 1, 0)</f>
        <v>0</v>
      </c>
      <c r="AC275" s="1">
        <v>4340000</v>
      </c>
    </row>
    <row r="276" spans="1:29">
      <c r="A276">
        <v>6450</v>
      </c>
      <c r="B276" t="s">
        <v>16</v>
      </c>
      <c r="C276">
        <v>4</v>
      </c>
      <c r="D276">
        <v>1</v>
      </c>
      <c r="E276">
        <v>2</v>
      </c>
      <c r="F276" t="s">
        <v>13</v>
      </c>
      <c r="G276" t="s">
        <v>14</v>
      </c>
      <c r="H276" t="s">
        <v>14</v>
      </c>
      <c r="I276" t="s">
        <v>14</v>
      </c>
      <c r="J276" t="s">
        <v>14</v>
      </c>
      <c r="K276">
        <v>0</v>
      </c>
      <c r="L276" t="s">
        <v>14</v>
      </c>
      <c r="M276" s="1">
        <v>4340000</v>
      </c>
      <c r="P276">
        <v>6450</v>
      </c>
      <c r="Q276">
        <f>IF(Table1[[#This Row],[furnishingstatus]]="furnished", 1, 0)</f>
        <v>0</v>
      </c>
      <c r="R276">
        <f>IF(Table1[[#This Row],[furnishingstatus]]="semi-furnished", 1, 0)</f>
        <v>1</v>
      </c>
      <c r="S276">
        <v>4</v>
      </c>
      <c r="T276">
        <v>1</v>
      </c>
      <c r="U276">
        <v>2</v>
      </c>
      <c r="V276">
        <f>IF(Table1[[#This Row],[mainroad]] = "yes", 1, 0)</f>
        <v>1</v>
      </c>
      <c r="W276">
        <f>IF(Table1[[#This Row],[guestroom]]= "yes", 1, 0)</f>
        <v>0</v>
      </c>
      <c r="X276">
        <f>IF(Table1[[#This Row],[basement]]="yes", 1, 0)</f>
        <v>0</v>
      </c>
      <c r="Y276">
        <f>IF(Table1[[#This Row],[hotwaterheating]]="yes", 1, 0)</f>
        <v>0</v>
      </c>
      <c r="Z276">
        <f>IF(Table1[[#This Row],[airconditioning]]="yes", 1, 0)</f>
        <v>0</v>
      </c>
      <c r="AA276">
        <v>0</v>
      </c>
      <c r="AB276">
        <f>IF(Table1[[#This Row],[prefarea]]= "yes", 1, 0)</f>
        <v>0</v>
      </c>
      <c r="AC276" s="1">
        <v>4340000</v>
      </c>
    </row>
    <row r="277" spans="1:29">
      <c r="A277">
        <v>4032</v>
      </c>
      <c r="B277" t="s">
        <v>15</v>
      </c>
      <c r="C277">
        <v>2</v>
      </c>
      <c r="D277">
        <v>1</v>
      </c>
      <c r="E277">
        <v>1</v>
      </c>
      <c r="F277" t="s">
        <v>13</v>
      </c>
      <c r="G277" t="s">
        <v>14</v>
      </c>
      <c r="H277" t="s">
        <v>13</v>
      </c>
      <c r="I277" t="s">
        <v>14</v>
      </c>
      <c r="J277" t="s">
        <v>14</v>
      </c>
      <c r="K277">
        <v>0</v>
      </c>
      <c r="L277" t="s">
        <v>14</v>
      </c>
      <c r="M277" s="1">
        <v>4319000</v>
      </c>
      <c r="P277">
        <v>4032</v>
      </c>
      <c r="Q277">
        <f>IF(Table1[[#This Row],[furnishingstatus]]="furnished", 1, 0)</f>
        <v>1</v>
      </c>
      <c r="R277">
        <f>IF(Table1[[#This Row],[furnishingstatus]]="semi-furnished", 1, 0)</f>
        <v>0</v>
      </c>
      <c r="S277">
        <v>2</v>
      </c>
      <c r="T277">
        <v>1</v>
      </c>
      <c r="U277">
        <v>1</v>
      </c>
      <c r="V277">
        <f>IF(Table1[[#This Row],[mainroad]] = "yes", 1, 0)</f>
        <v>1</v>
      </c>
      <c r="W277">
        <f>IF(Table1[[#This Row],[guestroom]]= "yes", 1, 0)</f>
        <v>0</v>
      </c>
      <c r="X277">
        <f>IF(Table1[[#This Row],[basement]]="yes", 1, 0)</f>
        <v>1</v>
      </c>
      <c r="Y277">
        <f>IF(Table1[[#This Row],[hotwaterheating]]="yes", 1, 0)</f>
        <v>0</v>
      </c>
      <c r="Z277">
        <f>IF(Table1[[#This Row],[airconditioning]]="yes", 1, 0)</f>
        <v>0</v>
      </c>
      <c r="AA277">
        <v>0</v>
      </c>
      <c r="AB277">
        <f>IF(Table1[[#This Row],[prefarea]]= "yes", 1, 0)</f>
        <v>0</v>
      </c>
      <c r="AC277" s="1">
        <v>4319000</v>
      </c>
    </row>
    <row r="278" spans="1:29">
      <c r="A278">
        <v>4400</v>
      </c>
      <c r="B278" t="s">
        <v>16</v>
      </c>
      <c r="C278">
        <v>2</v>
      </c>
      <c r="D278">
        <v>1</v>
      </c>
      <c r="E278">
        <v>1</v>
      </c>
      <c r="F278" t="s">
        <v>13</v>
      </c>
      <c r="G278" t="s">
        <v>14</v>
      </c>
      <c r="H278" t="s">
        <v>14</v>
      </c>
      <c r="I278" t="s">
        <v>14</v>
      </c>
      <c r="J278" t="s">
        <v>14</v>
      </c>
      <c r="K278">
        <v>1</v>
      </c>
      <c r="L278" t="s">
        <v>14</v>
      </c>
      <c r="M278" s="1">
        <v>4305000</v>
      </c>
      <c r="P278">
        <v>4400</v>
      </c>
      <c r="Q278">
        <f>IF(Table1[[#This Row],[furnishingstatus]]="furnished", 1, 0)</f>
        <v>0</v>
      </c>
      <c r="R278">
        <f>IF(Table1[[#This Row],[furnishingstatus]]="semi-furnished", 1, 0)</f>
        <v>1</v>
      </c>
      <c r="S278">
        <v>2</v>
      </c>
      <c r="T278">
        <v>1</v>
      </c>
      <c r="U278">
        <v>1</v>
      </c>
      <c r="V278">
        <f>IF(Table1[[#This Row],[mainroad]] = "yes", 1, 0)</f>
        <v>1</v>
      </c>
      <c r="W278">
        <f>IF(Table1[[#This Row],[guestroom]]= "yes", 1, 0)</f>
        <v>0</v>
      </c>
      <c r="X278">
        <f>IF(Table1[[#This Row],[basement]]="yes", 1, 0)</f>
        <v>0</v>
      </c>
      <c r="Y278">
        <f>IF(Table1[[#This Row],[hotwaterheating]]="yes", 1, 0)</f>
        <v>0</v>
      </c>
      <c r="Z278">
        <f>IF(Table1[[#This Row],[airconditioning]]="yes", 1, 0)</f>
        <v>0</v>
      </c>
      <c r="AA278">
        <v>1</v>
      </c>
      <c r="AB278">
        <f>IF(Table1[[#This Row],[prefarea]]= "yes", 1, 0)</f>
        <v>0</v>
      </c>
      <c r="AC278" s="1">
        <v>4305000</v>
      </c>
    </row>
    <row r="279" spans="1:29">
      <c r="A279">
        <v>10360</v>
      </c>
      <c r="B279" t="s">
        <v>16</v>
      </c>
      <c r="C279">
        <v>2</v>
      </c>
      <c r="D279">
        <v>1</v>
      </c>
      <c r="E279">
        <v>1</v>
      </c>
      <c r="F279" t="s">
        <v>13</v>
      </c>
      <c r="G279" t="s">
        <v>14</v>
      </c>
      <c r="H279" t="s">
        <v>14</v>
      </c>
      <c r="I279" t="s">
        <v>14</v>
      </c>
      <c r="J279" t="s">
        <v>14</v>
      </c>
      <c r="K279">
        <v>1</v>
      </c>
      <c r="L279" t="s">
        <v>13</v>
      </c>
      <c r="M279" s="1">
        <v>4305000</v>
      </c>
      <c r="P279">
        <v>10360</v>
      </c>
      <c r="Q279">
        <f>IF(Table1[[#This Row],[furnishingstatus]]="furnished", 1, 0)</f>
        <v>0</v>
      </c>
      <c r="R279">
        <f>IF(Table1[[#This Row],[furnishingstatus]]="semi-furnished", 1, 0)</f>
        <v>1</v>
      </c>
      <c r="S279">
        <v>2</v>
      </c>
      <c r="T279">
        <v>1</v>
      </c>
      <c r="U279">
        <v>1</v>
      </c>
      <c r="V279">
        <f>IF(Table1[[#This Row],[mainroad]] = "yes", 1, 0)</f>
        <v>1</v>
      </c>
      <c r="W279">
        <f>IF(Table1[[#This Row],[guestroom]]= "yes", 1, 0)</f>
        <v>0</v>
      </c>
      <c r="X279">
        <f>IF(Table1[[#This Row],[basement]]="yes", 1, 0)</f>
        <v>0</v>
      </c>
      <c r="Y279">
        <f>IF(Table1[[#This Row],[hotwaterheating]]="yes", 1, 0)</f>
        <v>0</v>
      </c>
      <c r="Z279">
        <f>IF(Table1[[#This Row],[airconditioning]]="yes", 1, 0)</f>
        <v>0</v>
      </c>
      <c r="AA279">
        <v>1</v>
      </c>
      <c r="AB279">
        <f>IF(Table1[[#This Row],[prefarea]]= "yes", 1, 0)</f>
        <v>1</v>
      </c>
      <c r="AC279" s="1">
        <v>4305000</v>
      </c>
    </row>
    <row r="280" spans="1:29">
      <c r="A280">
        <v>3400</v>
      </c>
      <c r="B280" t="s">
        <v>16</v>
      </c>
      <c r="C280">
        <v>3</v>
      </c>
      <c r="D280">
        <v>1</v>
      </c>
      <c r="E280">
        <v>2</v>
      </c>
      <c r="F280" t="s">
        <v>13</v>
      </c>
      <c r="G280" t="s">
        <v>14</v>
      </c>
      <c r="H280" t="s">
        <v>13</v>
      </c>
      <c r="I280" t="s">
        <v>14</v>
      </c>
      <c r="J280" t="s">
        <v>14</v>
      </c>
      <c r="K280">
        <v>2</v>
      </c>
      <c r="L280" t="s">
        <v>13</v>
      </c>
      <c r="M280" s="1">
        <v>4277000</v>
      </c>
      <c r="P280">
        <v>3400</v>
      </c>
      <c r="Q280">
        <f>IF(Table1[[#This Row],[furnishingstatus]]="furnished", 1, 0)</f>
        <v>0</v>
      </c>
      <c r="R280">
        <f>IF(Table1[[#This Row],[furnishingstatus]]="semi-furnished", 1, 0)</f>
        <v>1</v>
      </c>
      <c r="S280">
        <v>3</v>
      </c>
      <c r="T280">
        <v>1</v>
      </c>
      <c r="U280">
        <v>2</v>
      </c>
      <c r="V280">
        <f>IF(Table1[[#This Row],[mainroad]] = "yes", 1, 0)</f>
        <v>1</v>
      </c>
      <c r="W280">
        <f>IF(Table1[[#This Row],[guestroom]]= "yes", 1, 0)</f>
        <v>0</v>
      </c>
      <c r="X280">
        <f>IF(Table1[[#This Row],[basement]]="yes", 1, 0)</f>
        <v>1</v>
      </c>
      <c r="Y280">
        <f>IF(Table1[[#This Row],[hotwaterheating]]="yes", 1, 0)</f>
        <v>0</v>
      </c>
      <c r="Z280">
        <f>IF(Table1[[#This Row],[airconditioning]]="yes", 1, 0)</f>
        <v>0</v>
      </c>
      <c r="AA280">
        <v>2</v>
      </c>
      <c r="AB280">
        <f>IF(Table1[[#This Row],[prefarea]]= "yes", 1, 0)</f>
        <v>1</v>
      </c>
      <c r="AC280" s="1">
        <v>4277000</v>
      </c>
    </row>
    <row r="281" spans="1:29">
      <c r="A281">
        <v>6360</v>
      </c>
      <c r="B281" t="s">
        <v>15</v>
      </c>
      <c r="C281">
        <v>2</v>
      </c>
      <c r="D281">
        <v>1</v>
      </c>
      <c r="E281">
        <v>1</v>
      </c>
      <c r="F281" t="s">
        <v>13</v>
      </c>
      <c r="G281" t="s">
        <v>14</v>
      </c>
      <c r="H281" t="s">
        <v>14</v>
      </c>
      <c r="I281" t="s">
        <v>14</v>
      </c>
      <c r="J281" t="s">
        <v>14</v>
      </c>
      <c r="K281">
        <v>0</v>
      </c>
      <c r="L281" t="s">
        <v>14</v>
      </c>
      <c r="M281" s="1">
        <v>4270000</v>
      </c>
      <c r="P281">
        <v>6360</v>
      </c>
      <c r="Q281">
        <f>IF(Table1[[#This Row],[furnishingstatus]]="furnished", 1, 0)</f>
        <v>1</v>
      </c>
      <c r="R281">
        <f>IF(Table1[[#This Row],[furnishingstatus]]="semi-furnished", 1, 0)</f>
        <v>0</v>
      </c>
      <c r="S281">
        <v>2</v>
      </c>
      <c r="T281">
        <v>1</v>
      </c>
      <c r="U281">
        <v>1</v>
      </c>
      <c r="V281">
        <f>IF(Table1[[#This Row],[mainroad]] = "yes", 1, 0)</f>
        <v>1</v>
      </c>
      <c r="W281">
        <f>IF(Table1[[#This Row],[guestroom]]= "yes", 1, 0)</f>
        <v>0</v>
      </c>
      <c r="X281">
        <f>IF(Table1[[#This Row],[basement]]="yes", 1, 0)</f>
        <v>0</v>
      </c>
      <c r="Y281">
        <f>IF(Table1[[#This Row],[hotwaterheating]]="yes", 1, 0)</f>
        <v>0</v>
      </c>
      <c r="Z281">
        <f>IF(Table1[[#This Row],[airconditioning]]="yes", 1, 0)</f>
        <v>0</v>
      </c>
      <c r="AA281">
        <v>0</v>
      </c>
      <c r="AB281">
        <f>IF(Table1[[#This Row],[prefarea]]= "yes", 1, 0)</f>
        <v>0</v>
      </c>
      <c r="AC281" s="1">
        <v>4270000</v>
      </c>
    </row>
    <row r="282" spans="1:29">
      <c r="A282">
        <v>6360</v>
      </c>
      <c r="B282" t="s">
        <v>17</v>
      </c>
      <c r="C282">
        <v>2</v>
      </c>
      <c r="D282">
        <v>1</v>
      </c>
      <c r="E282">
        <v>2</v>
      </c>
      <c r="F282" t="s">
        <v>13</v>
      </c>
      <c r="G282" t="s">
        <v>14</v>
      </c>
      <c r="H282" t="s">
        <v>14</v>
      </c>
      <c r="I282" t="s">
        <v>14</v>
      </c>
      <c r="J282" t="s">
        <v>14</v>
      </c>
      <c r="K282">
        <v>0</v>
      </c>
      <c r="L282" t="s">
        <v>14</v>
      </c>
      <c r="M282" s="1">
        <v>4270000</v>
      </c>
      <c r="P282">
        <v>6360</v>
      </c>
      <c r="Q282">
        <f>IF(Table1[[#This Row],[furnishingstatus]]="furnished", 1, 0)</f>
        <v>0</v>
      </c>
      <c r="R282">
        <f>IF(Table1[[#This Row],[furnishingstatus]]="semi-furnished", 1, 0)</f>
        <v>0</v>
      </c>
      <c r="S282">
        <v>2</v>
      </c>
      <c r="T282">
        <v>1</v>
      </c>
      <c r="U282">
        <v>2</v>
      </c>
      <c r="V282">
        <f>IF(Table1[[#This Row],[mainroad]] = "yes", 1, 0)</f>
        <v>1</v>
      </c>
      <c r="W282">
        <f>IF(Table1[[#This Row],[guestroom]]= "yes", 1, 0)</f>
        <v>0</v>
      </c>
      <c r="X282">
        <f>IF(Table1[[#This Row],[basement]]="yes", 1, 0)</f>
        <v>0</v>
      </c>
      <c r="Y282">
        <f>IF(Table1[[#This Row],[hotwaterheating]]="yes", 1, 0)</f>
        <v>0</v>
      </c>
      <c r="Z282">
        <f>IF(Table1[[#This Row],[airconditioning]]="yes", 1, 0)</f>
        <v>0</v>
      </c>
      <c r="AA282">
        <v>0</v>
      </c>
      <c r="AB282">
        <f>IF(Table1[[#This Row],[prefarea]]= "yes", 1, 0)</f>
        <v>0</v>
      </c>
      <c r="AC282" s="1">
        <v>4270000</v>
      </c>
    </row>
    <row r="283" spans="1:29">
      <c r="A283">
        <v>4500</v>
      </c>
      <c r="B283" t="s">
        <v>15</v>
      </c>
      <c r="C283">
        <v>2</v>
      </c>
      <c r="D283">
        <v>1</v>
      </c>
      <c r="E283">
        <v>1</v>
      </c>
      <c r="F283" t="s">
        <v>13</v>
      </c>
      <c r="G283" t="s">
        <v>14</v>
      </c>
      <c r="H283" t="s">
        <v>14</v>
      </c>
      <c r="I283" t="s">
        <v>14</v>
      </c>
      <c r="J283" t="s">
        <v>13</v>
      </c>
      <c r="K283">
        <v>2</v>
      </c>
      <c r="L283" t="s">
        <v>14</v>
      </c>
      <c r="M283" s="1">
        <v>4270000</v>
      </c>
      <c r="P283">
        <v>4500</v>
      </c>
      <c r="Q283">
        <f>IF(Table1[[#This Row],[furnishingstatus]]="furnished", 1, 0)</f>
        <v>1</v>
      </c>
      <c r="R283">
        <f>IF(Table1[[#This Row],[furnishingstatus]]="semi-furnished", 1, 0)</f>
        <v>0</v>
      </c>
      <c r="S283">
        <v>2</v>
      </c>
      <c r="T283">
        <v>1</v>
      </c>
      <c r="U283">
        <v>1</v>
      </c>
      <c r="V283">
        <f>IF(Table1[[#This Row],[mainroad]] = "yes", 1, 0)</f>
        <v>1</v>
      </c>
      <c r="W283">
        <f>IF(Table1[[#This Row],[guestroom]]= "yes", 1, 0)</f>
        <v>0</v>
      </c>
      <c r="X283">
        <f>IF(Table1[[#This Row],[basement]]="yes", 1, 0)</f>
        <v>0</v>
      </c>
      <c r="Y283">
        <f>IF(Table1[[#This Row],[hotwaterheating]]="yes", 1, 0)</f>
        <v>0</v>
      </c>
      <c r="Z283">
        <f>IF(Table1[[#This Row],[airconditioning]]="yes", 1, 0)</f>
        <v>1</v>
      </c>
      <c r="AA283">
        <v>2</v>
      </c>
      <c r="AB283">
        <f>IF(Table1[[#This Row],[prefarea]]= "yes", 1, 0)</f>
        <v>0</v>
      </c>
      <c r="AC283" s="1">
        <v>4270000</v>
      </c>
    </row>
    <row r="284" spans="1:29">
      <c r="A284">
        <v>2175</v>
      </c>
      <c r="B284" t="s">
        <v>17</v>
      </c>
      <c r="C284">
        <v>3</v>
      </c>
      <c r="D284">
        <v>1</v>
      </c>
      <c r="E284">
        <v>2</v>
      </c>
      <c r="F284" t="s">
        <v>14</v>
      </c>
      <c r="G284" t="s">
        <v>13</v>
      </c>
      <c r="H284" t="s">
        <v>13</v>
      </c>
      <c r="I284" t="s">
        <v>14</v>
      </c>
      <c r="J284" t="s">
        <v>13</v>
      </c>
      <c r="K284">
        <v>0</v>
      </c>
      <c r="L284" t="s">
        <v>14</v>
      </c>
      <c r="M284" s="1">
        <v>4270000</v>
      </c>
      <c r="P284">
        <v>2175</v>
      </c>
      <c r="Q284">
        <f>IF(Table1[[#This Row],[furnishingstatus]]="furnished", 1, 0)</f>
        <v>0</v>
      </c>
      <c r="R284">
        <f>IF(Table1[[#This Row],[furnishingstatus]]="semi-furnished", 1, 0)</f>
        <v>0</v>
      </c>
      <c r="S284">
        <v>3</v>
      </c>
      <c r="T284">
        <v>1</v>
      </c>
      <c r="U284">
        <v>2</v>
      </c>
      <c r="V284">
        <f>IF(Table1[[#This Row],[mainroad]] = "yes", 1, 0)</f>
        <v>0</v>
      </c>
      <c r="W284">
        <f>IF(Table1[[#This Row],[guestroom]]= "yes", 1, 0)</f>
        <v>1</v>
      </c>
      <c r="X284">
        <f>IF(Table1[[#This Row],[basement]]="yes", 1, 0)</f>
        <v>1</v>
      </c>
      <c r="Y284">
        <f>IF(Table1[[#This Row],[hotwaterheating]]="yes", 1, 0)</f>
        <v>0</v>
      </c>
      <c r="Z284">
        <f>IF(Table1[[#This Row],[airconditioning]]="yes", 1, 0)</f>
        <v>1</v>
      </c>
      <c r="AA284">
        <v>0</v>
      </c>
      <c r="AB284">
        <f>IF(Table1[[#This Row],[prefarea]]= "yes", 1, 0)</f>
        <v>0</v>
      </c>
      <c r="AC284" s="1">
        <v>4270000</v>
      </c>
    </row>
    <row r="285" spans="1:29">
      <c r="A285">
        <v>4360</v>
      </c>
      <c r="B285" t="s">
        <v>15</v>
      </c>
      <c r="C285">
        <v>4</v>
      </c>
      <c r="D285">
        <v>1</v>
      </c>
      <c r="E285">
        <v>2</v>
      </c>
      <c r="F285" t="s">
        <v>13</v>
      </c>
      <c r="G285" t="s">
        <v>14</v>
      </c>
      <c r="H285" t="s">
        <v>14</v>
      </c>
      <c r="I285" t="s">
        <v>14</v>
      </c>
      <c r="J285" t="s">
        <v>14</v>
      </c>
      <c r="K285">
        <v>0</v>
      </c>
      <c r="L285" t="s">
        <v>14</v>
      </c>
      <c r="M285" s="1">
        <v>4270000</v>
      </c>
      <c r="P285">
        <v>4360</v>
      </c>
      <c r="Q285">
        <f>IF(Table1[[#This Row],[furnishingstatus]]="furnished", 1, 0)</f>
        <v>1</v>
      </c>
      <c r="R285">
        <f>IF(Table1[[#This Row],[furnishingstatus]]="semi-furnished", 1, 0)</f>
        <v>0</v>
      </c>
      <c r="S285">
        <v>4</v>
      </c>
      <c r="T285">
        <v>1</v>
      </c>
      <c r="U285">
        <v>2</v>
      </c>
      <c r="V285">
        <f>IF(Table1[[#This Row],[mainroad]] = "yes", 1, 0)</f>
        <v>1</v>
      </c>
      <c r="W285">
        <f>IF(Table1[[#This Row],[guestroom]]= "yes", 1, 0)</f>
        <v>0</v>
      </c>
      <c r="X285">
        <f>IF(Table1[[#This Row],[basement]]="yes", 1, 0)</f>
        <v>0</v>
      </c>
      <c r="Y285">
        <f>IF(Table1[[#This Row],[hotwaterheating]]="yes", 1, 0)</f>
        <v>0</v>
      </c>
      <c r="Z285">
        <f>IF(Table1[[#This Row],[airconditioning]]="yes", 1, 0)</f>
        <v>0</v>
      </c>
      <c r="AA285">
        <v>0</v>
      </c>
      <c r="AB285">
        <f>IF(Table1[[#This Row],[prefarea]]= "yes", 1, 0)</f>
        <v>0</v>
      </c>
      <c r="AC285" s="1">
        <v>4270000</v>
      </c>
    </row>
    <row r="286" spans="1:29">
      <c r="A286">
        <v>7770</v>
      </c>
      <c r="B286" t="s">
        <v>15</v>
      </c>
      <c r="C286">
        <v>2</v>
      </c>
      <c r="D286">
        <v>1</v>
      </c>
      <c r="E286">
        <v>1</v>
      </c>
      <c r="F286" t="s">
        <v>13</v>
      </c>
      <c r="G286" t="s">
        <v>14</v>
      </c>
      <c r="H286" t="s">
        <v>14</v>
      </c>
      <c r="I286" t="s">
        <v>14</v>
      </c>
      <c r="J286" t="s">
        <v>14</v>
      </c>
      <c r="K286">
        <v>1</v>
      </c>
      <c r="L286" t="s">
        <v>14</v>
      </c>
      <c r="M286" s="1">
        <v>4270000</v>
      </c>
      <c r="P286">
        <v>7770</v>
      </c>
      <c r="Q286">
        <f>IF(Table1[[#This Row],[furnishingstatus]]="furnished", 1, 0)</f>
        <v>1</v>
      </c>
      <c r="R286">
        <f>IF(Table1[[#This Row],[furnishingstatus]]="semi-furnished", 1, 0)</f>
        <v>0</v>
      </c>
      <c r="S286">
        <v>2</v>
      </c>
      <c r="T286">
        <v>1</v>
      </c>
      <c r="U286">
        <v>1</v>
      </c>
      <c r="V286">
        <f>IF(Table1[[#This Row],[mainroad]] = "yes", 1, 0)</f>
        <v>1</v>
      </c>
      <c r="W286">
        <f>IF(Table1[[#This Row],[guestroom]]= "yes", 1, 0)</f>
        <v>0</v>
      </c>
      <c r="X286">
        <f>IF(Table1[[#This Row],[basement]]="yes", 1, 0)</f>
        <v>0</v>
      </c>
      <c r="Y286">
        <f>IF(Table1[[#This Row],[hotwaterheating]]="yes", 1, 0)</f>
        <v>0</v>
      </c>
      <c r="Z286">
        <f>IF(Table1[[#This Row],[airconditioning]]="yes", 1, 0)</f>
        <v>0</v>
      </c>
      <c r="AA286">
        <v>1</v>
      </c>
      <c r="AB286">
        <f>IF(Table1[[#This Row],[prefarea]]= "yes", 1, 0)</f>
        <v>0</v>
      </c>
      <c r="AC286" s="1">
        <v>4270000</v>
      </c>
    </row>
    <row r="287" spans="1:29">
      <c r="A287">
        <v>6650</v>
      </c>
      <c r="B287" t="s">
        <v>16</v>
      </c>
      <c r="C287">
        <v>3</v>
      </c>
      <c r="D287">
        <v>1</v>
      </c>
      <c r="E287">
        <v>2</v>
      </c>
      <c r="F287" t="s">
        <v>13</v>
      </c>
      <c r="G287" t="s">
        <v>13</v>
      </c>
      <c r="H287" t="s">
        <v>14</v>
      </c>
      <c r="I287" t="s">
        <v>14</v>
      </c>
      <c r="J287" t="s">
        <v>14</v>
      </c>
      <c r="K287">
        <v>0</v>
      </c>
      <c r="L287" t="s">
        <v>14</v>
      </c>
      <c r="M287" s="1">
        <v>4235000</v>
      </c>
      <c r="P287">
        <v>6650</v>
      </c>
      <c r="Q287">
        <f>IF(Table1[[#This Row],[furnishingstatus]]="furnished", 1, 0)</f>
        <v>0</v>
      </c>
      <c r="R287">
        <f>IF(Table1[[#This Row],[furnishingstatus]]="semi-furnished", 1, 0)</f>
        <v>1</v>
      </c>
      <c r="S287">
        <v>3</v>
      </c>
      <c r="T287">
        <v>1</v>
      </c>
      <c r="U287">
        <v>2</v>
      </c>
      <c r="V287">
        <f>IF(Table1[[#This Row],[mainroad]] = "yes", 1, 0)</f>
        <v>1</v>
      </c>
      <c r="W287">
        <f>IF(Table1[[#This Row],[guestroom]]= "yes", 1, 0)</f>
        <v>1</v>
      </c>
      <c r="X287">
        <f>IF(Table1[[#This Row],[basement]]="yes", 1, 0)</f>
        <v>0</v>
      </c>
      <c r="Y287">
        <f>IF(Table1[[#This Row],[hotwaterheating]]="yes", 1, 0)</f>
        <v>0</v>
      </c>
      <c r="Z287">
        <f>IF(Table1[[#This Row],[airconditioning]]="yes", 1, 0)</f>
        <v>0</v>
      </c>
      <c r="AA287">
        <v>0</v>
      </c>
      <c r="AB287">
        <f>IF(Table1[[#This Row],[prefarea]]= "yes", 1, 0)</f>
        <v>0</v>
      </c>
      <c r="AC287" s="1">
        <v>4235000</v>
      </c>
    </row>
    <row r="288" spans="1:29">
      <c r="A288">
        <v>2787</v>
      </c>
      <c r="B288" t="s">
        <v>15</v>
      </c>
      <c r="C288">
        <v>3</v>
      </c>
      <c r="D288">
        <v>1</v>
      </c>
      <c r="E288">
        <v>1</v>
      </c>
      <c r="F288" t="s">
        <v>13</v>
      </c>
      <c r="G288" t="s">
        <v>14</v>
      </c>
      <c r="H288" t="s">
        <v>13</v>
      </c>
      <c r="I288" t="s">
        <v>14</v>
      </c>
      <c r="J288" t="s">
        <v>14</v>
      </c>
      <c r="K288">
        <v>0</v>
      </c>
      <c r="L288" t="s">
        <v>13</v>
      </c>
      <c r="M288" s="1">
        <v>4235000</v>
      </c>
      <c r="P288">
        <v>2787</v>
      </c>
      <c r="Q288">
        <f>IF(Table1[[#This Row],[furnishingstatus]]="furnished", 1, 0)</f>
        <v>1</v>
      </c>
      <c r="R288">
        <f>IF(Table1[[#This Row],[furnishingstatus]]="semi-furnished", 1, 0)</f>
        <v>0</v>
      </c>
      <c r="S288">
        <v>3</v>
      </c>
      <c r="T288">
        <v>1</v>
      </c>
      <c r="U288">
        <v>1</v>
      </c>
      <c r="V288">
        <f>IF(Table1[[#This Row],[mainroad]] = "yes", 1, 0)</f>
        <v>1</v>
      </c>
      <c r="W288">
        <f>IF(Table1[[#This Row],[guestroom]]= "yes", 1, 0)</f>
        <v>0</v>
      </c>
      <c r="X288">
        <f>IF(Table1[[#This Row],[basement]]="yes", 1, 0)</f>
        <v>1</v>
      </c>
      <c r="Y288">
        <f>IF(Table1[[#This Row],[hotwaterheating]]="yes", 1, 0)</f>
        <v>0</v>
      </c>
      <c r="Z288">
        <f>IF(Table1[[#This Row],[airconditioning]]="yes", 1, 0)</f>
        <v>0</v>
      </c>
      <c r="AA288">
        <v>0</v>
      </c>
      <c r="AB288">
        <f>IF(Table1[[#This Row],[prefarea]]= "yes", 1, 0)</f>
        <v>1</v>
      </c>
      <c r="AC288" s="1">
        <v>4235000</v>
      </c>
    </row>
    <row r="289" spans="1:29">
      <c r="A289">
        <v>5500</v>
      </c>
      <c r="B289" t="s">
        <v>17</v>
      </c>
      <c r="C289">
        <v>3</v>
      </c>
      <c r="D289">
        <v>1</v>
      </c>
      <c r="E289">
        <v>2</v>
      </c>
      <c r="F289" t="s">
        <v>13</v>
      </c>
      <c r="G289" t="s">
        <v>14</v>
      </c>
      <c r="H289" t="s">
        <v>14</v>
      </c>
      <c r="I289" t="s">
        <v>14</v>
      </c>
      <c r="J289" t="s">
        <v>13</v>
      </c>
      <c r="K289">
        <v>0</v>
      </c>
      <c r="L289" t="s">
        <v>14</v>
      </c>
      <c r="M289" s="1">
        <v>4200000</v>
      </c>
      <c r="P289">
        <v>5500</v>
      </c>
      <c r="Q289">
        <f>IF(Table1[[#This Row],[furnishingstatus]]="furnished", 1, 0)</f>
        <v>0</v>
      </c>
      <c r="R289">
        <f>IF(Table1[[#This Row],[furnishingstatus]]="semi-furnished", 1, 0)</f>
        <v>0</v>
      </c>
      <c r="S289">
        <v>3</v>
      </c>
      <c r="T289">
        <v>1</v>
      </c>
      <c r="U289">
        <v>2</v>
      </c>
      <c r="V289">
        <f>IF(Table1[[#This Row],[mainroad]] = "yes", 1, 0)</f>
        <v>1</v>
      </c>
      <c r="W289">
        <f>IF(Table1[[#This Row],[guestroom]]= "yes", 1, 0)</f>
        <v>0</v>
      </c>
      <c r="X289">
        <f>IF(Table1[[#This Row],[basement]]="yes", 1, 0)</f>
        <v>0</v>
      </c>
      <c r="Y289">
        <f>IF(Table1[[#This Row],[hotwaterheating]]="yes", 1, 0)</f>
        <v>0</v>
      </c>
      <c r="Z289">
        <f>IF(Table1[[#This Row],[airconditioning]]="yes", 1, 0)</f>
        <v>1</v>
      </c>
      <c r="AA289">
        <v>0</v>
      </c>
      <c r="AB289">
        <f>IF(Table1[[#This Row],[prefarea]]= "yes", 1, 0)</f>
        <v>0</v>
      </c>
      <c r="AC289" s="1">
        <v>4200000</v>
      </c>
    </row>
    <row r="290" spans="1:29">
      <c r="A290">
        <v>5040</v>
      </c>
      <c r="B290" t="s">
        <v>17</v>
      </c>
      <c r="C290">
        <v>3</v>
      </c>
      <c r="D290">
        <v>1</v>
      </c>
      <c r="E290">
        <v>2</v>
      </c>
      <c r="F290" t="s">
        <v>13</v>
      </c>
      <c r="G290" t="s">
        <v>14</v>
      </c>
      <c r="H290" t="s">
        <v>13</v>
      </c>
      <c r="I290" t="s">
        <v>14</v>
      </c>
      <c r="J290" t="s">
        <v>13</v>
      </c>
      <c r="K290">
        <v>0</v>
      </c>
      <c r="L290" t="s">
        <v>14</v>
      </c>
      <c r="M290" s="1">
        <v>4200000</v>
      </c>
      <c r="P290">
        <v>5040</v>
      </c>
      <c r="Q290">
        <f>IF(Table1[[#This Row],[furnishingstatus]]="furnished", 1, 0)</f>
        <v>0</v>
      </c>
      <c r="R290">
        <f>IF(Table1[[#This Row],[furnishingstatus]]="semi-furnished", 1, 0)</f>
        <v>0</v>
      </c>
      <c r="S290">
        <v>3</v>
      </c>
      <c r="T290">
        <v>1</v>
      </c>
      <c r="U290">
        <v>2</v>
      </c>
      <c r="V290">
        <f>IF(Table1[[#This Row],[mainroad]] = "yes", 1, 0)</f>
        <v>1</v>
      </c>
      <c r="W290">
        <f>IF(Table1[[#This Row],[guestroom]]= "yes", 1, 0)</f>
        <v>0</v>
      </c>
      <c r="X290">
        <f>IF(Table1[[#This Row],[basement]]="yes", 1, 0)</f>
        <v>1</v>
      </c>
      <c r="Y290">
        <f>IF(Table1[[#This Row],[hotwaterheating]]="yes", 1, 0)</f>
        <v>0</v>
      </c>
      <c r="Z290">
        <f>IF(Table1[[#This Row],[airconditioning]]="yes", 1, 0)</f>
        <v>1</v>
      </c>
      <c r="AA290">
        <v>0</v>
      </c>
      <c r="AB290">
        <f>IF(Table1[[#This Row],[prefarea]]= "yes", 1, 0)</f>
        <v>0</v>
      </c>
      <c r="AC290" s="1">
        <v>4200000</v>
      </c>
    </row>
    <row r="291" spans="1:29">
      <c r="A291">
        <v>5850</v>
      </c>
      <c r="B291" t="s">
        <v>16</v>
      </c>
      <c r="C291">
        <v>2</v>
      </c>
      <c r="D291">
        <v>1</v>
      </c>
      <c r="E291">
        <v>1</v>
      </c>
      <c r="F291" t="s">
        <v>13</v>
      </c>
      <c r="G291" t="s">
        <v>13</v>
      </c>
      <c r="H291" t="s">
        <v>13</v>
      </c>
      <c r="I291" t="s">
        <v>14</v>
      </c>
      <c r="J291" t="s">
        <v>14</v>
      </c>
      <c r="K291">
        <v>2</v>
      </c>
      <c r="L291" t="s">
        <v>14</v>
      </c>
      <c r="M291" s="1">
        <v>4200000</v>
      </c>
      <c r="P291">
        <v>5850</v>
      </c>
      <c r="Q291">
        <f>IF(Table1[[#This Row],[furnishingstatus]]="furnished", 1, 0)</f>
        <v>0</v>
      </c>
      <c r="R291">
        <f>IF(Table1[[#This Row],[furnishingstatus]]="semi-furnished", 1, 0)</f>
        <v>1</v>
      </c>
      <c r="S291">
        <v>2</v>
      </c>
      <c r="T291">
        <v>1</v>
      </c>
      <c r="U291">
        <v>1</v>
      </c>
      <c r="V291">
        <f>IF(Table1[[#This Row],[mainroad]] = "yes", 1, 0)</f>
        <v>1</v>
      </c>
      <c r="W291">
        <f>IF(Table1[[#This Row],[guestroom]]= "yes", 1, 0)</f>
        <v>1</v>
      </c>
      <c r="X291">
        <f>IF(Table1[[#This Row],[basement]]="yes", 1, 0)</f>
        <v>1</v>
      </c>
      <c r="Y291">
        <f>IF(Table1[[#This Row],[hotwaterheating]]="yes", 1, 0)</f>
        <v>0</v>
      </c>
      <c r="Z291">
        <f>IF(Table1[[#This Row],[airconditioning]]="yes", 1, 0)</f>
        <v>0</v>
      </c>
      <c r="AA291">
        <v>2</v>
      </c>
      <c r="AB291">
        <f>IF(Table1[[#This Row],[prefarea]]= "yes", 1, 0)</f>
        <v>0</v>
      </c>
      <c r="AC291" s="1">
        <v>4200000</v>
      </c>
    </row>
    <row r="292" spans="1:29">
      <c r="A292">
        <v>2610</v>
      </c>
      <c r="B292" t="s">
        <v>16</v>
      </c>
      <c r="C292">
        <v>4</v>
      </c>
      <c r="D292">
        <v>3</v>
      </c>
      <c r="E292">
        <v>2</v>
      </c>
      <c r="F292" t="s">
        <v>14</v>
      </c>
      <c r="G292" t="s">
        <v>14</v>
      </c>
      <c r="H292" t="s">
        <v>14</v>
      </c>
      <c r="I292" t="s">
        <v>14</v>
      </c>
      <c r="J292" t="s">
        <v>14</v>
      </c>
      <c r="K292">
        <v>0</v>
      </c>
      <c r="L292" t="s">
        <v>14</v>
      </c>
      <c r="M292" s="1">
        <v>4200000</v>
      </c>
      <c r="P292">
        <v>2610</v>
      </c>
      <c r="Q292">
        <f>IF(Table1[[#This Row],[furnishingstatus]]="furnished", 1, 0)</f>
        <v>0</v>
      </c>
      <c r="R292">
        <f>IF(Table1[[#This Row],[furnishingstatus]]="semi-furnished", 1, 0)</f>
        <v>1</v>
      </c>
      <c r="S292">
        <v>4</v>
      </c>
      <c r="T292">
        <v>3</v>
      </c>
      <c r="U292">
        <v>2</v>
      </c>
      <c r="V292">
        <f>IF(Table1[[#This Row],[mainroad]] = "yes", 1, 0)</f>
        <v>0</v>
      </c>
      <c r="W292">
        <f>IF(Table1[[#This Row],[guestroom]]= "yes", 1, 0)</f>
        <v>0</v>
      </c>
      <c r="X292">
        <f>IF(Table1[[#This Row],[basement]]="yes", 1, 0)</f>
        <v>0</v>
      </c>
      <c r="Y292">
        <f>IF(Table1[[#This Row],[hotwaterheating]]="yes", 1, 0)</f>
        <v>0</v>
      </c>
      <c r="Z292">
        <f>IF(Table1[[#This Row],[airconditioning]]="yes", 1, 0)</f>
        <v>0</v>
      </c>
      <c r="AA292">
        <v>0</v>
      </c>
      <c r="AB292">
        <f>IF(Table1[[#This Row],[prefarea]]= "yes", 1, 0)</f>
        <v>0</v>
      </c>
      <c r="AC292" s="1">
        <v>4200000</v>
      </c>
    </row>
    <row r="293" spans="1:29">
      <c r="A293">
        <v>2953</v>
      </c>
      <c r="B293" t="s">
        <v>17</v>
      </c>
      <c r="C293">
        <v>3</v>
      </c>
      <c r="D293">
        <v>1</v>
      </c>
      <c r="E293">
        <v>2</v>
      </c>
      <c r="F293" t="s">
        <v>13</v>
      </c>
      <c r="G293" t="s">
        <v>14</v>
      </c>
      <c r="H293" t="s">
        <v>13</v>
      </c>
      <c r="I293" t="s">
        <v>14</v>
      </c>
      <c r="J293" t="s">
        <v>13</v>
      </c>
      <c r="K293">
        <v>0</v>
      </c>
      <c r="L293" t="s">
        <v>14</v>
      </c>
      <c r="M293" s="1">
        <v>4200000</v>
      </c>
      <c r="P293">
        <v>2953</v>
      </c>
      <c r="Q293">
        <f>IF(Table1[[#This Row],[furnishingstatus]]="furnished", 1, 0)</f>
        <v>0</v>
      </c>
      <c r="R293">
        <f>IF(Table1[[#This Row],[furnishingstatus]]="semi-furnished", 1, 0)</f>
        <v>0</v>
      </c>
      <c r="S293">
        <v>3</v>
      </c>
      <c r="T293">
        <v>1</v>
      </c>
      <c r="U293">
        <v>2</v>
      </c>
      <c r="V293">
        <f>IF(Table1[[#This Row],[mainroad]] = "yes", 1, 0)</f>
        <v>1</v>
      </c>
      <c r="W293">
        <f>IF(Table1[[#This Row],[guestroom]]= "yes", 1, 0)</f>
        <v>0</v>
      </c>
      <c r="X293">
        <f>IF(Table1[[#This Row],[basement]]="yes", 1, 0)</f>
        <v>1</v>
      </c>
      <c r="Y293">
        <f>IF(Table1[[#This Row],[hotwaterheating]]="yes", 1, 0)</f>
        <v>0</v>
      </c>
      <c r="Z293">
        <f>IF(Table1[[#This Row],[airconditioning]]="yes", 1, 0)</f>
        <v>1</v>
      </c>
      <c r="AA293">
        <v>0</v>
      </c>
      <c r="AB293">
        <f>IF(Table1[[#This Row],[prefarea]]= "yes", 1, 0)</f>
        <v>0</v>
      </c>
      <c r="AC293" s="1">
        <v>4200000</v>
      </c>
    </row>
    <row r="294" spans="1:29">
      <c r="A294">
        <v>2747</v>
      </c>
      <c r="B294" t="s">
        <v>16</v>
      </c>
      <c r="C294">
        <v>4</v>
      </c>
      <c r="D294">
        <v>2</v>
      </c>
      <c r="E294">
        <v>2</v>
      </c>
      <c r="F294" t="s">
        <v>14</v>
      </c>
      <c r="G294" t="s">
        <v>14</v>
      </c>
      <c r="H294" t="s">
        <v>14</v>
      </c>
      <c r="I294" t="s">
        <v>14</v>
      </c>
      <c r="J294" t="s">
        <v>14</v>
      </c>
      <c r="K294">
        <v>0</v>
      </c>
      <c r="L294" t="s">
        <v>14</v>
      </c>
      <c r="M294" s="1">
        <v>4200000</v>
      </c>
      <c r="P294">
        <v>2747</v>
      </c>
      <c r="Q294">
        <f>IF(Table1[[#This Row],[furnishingstatus]]="furnished", 1, 0)</f>
        <v>0</v>
      </c>
      <c r="R294">
        <f>IF(Table1[[#This Row],[furnishingstatus]]="semi-furnished", 1, 0)</f>
        <v>1</v>
      </c>
      <c r="S294">
        <v>4</v>
      </c>
      <c r="T294">
        <v>2</v>
      </c>
      <c r="U294">
        <v>2</v>
      </c>
      <c r="V294">
        <f>IF(Table1[[#This Row],[mainroad]] = "yes", 1, 0)</f>
        <v>0</v>
      </c>
      <c r="W294">
        <f>IF(Table1[[#This Row],[guestroom]]= "yes", 1, 0)</f>
        <v>0</v>
      </c>
      <c r="X294">
        <f>IF(Table1[[#This Row],[basement]]="yes", 1, 0)</f>
        <v>0</v>
      </c>
      <c r="Y294">
        <f>IF(Table1[[#This Row],[hotwaterheating]]="yes", 1, 0)</f>
        <v>0</v>
      </c>
      <c r="Z294">
        <f>IF(Table1[[#This Row],[airconditioning]]="yes", 1, 0)</f>
        <v>0</v>
      </c>
      <c r="AA294">
        <v>0</v>
      </c>
      <c r="AB294">
        <f>IF(Table1[[#This Row],[prefarea]]= "yes", 1, 0)</f>
        <v>0</v>
      </c>
      <c r="AC294" s="1">
        <v>4200000</v>
      </c>
    </row>
    <row r="295" spans="1:29">
      <c r="A295">
        <v>4410</v>
      </c>
      <c r="B295" t="s">
        <v>17</v>
      </c>
      <c r="C295">
        <v>2</v>
      </c>
      <c r="D295">
        <v>1</v>
      </c>
      <c r="E295">
        <v>1</v>
      </c>
      <c r="F295" t="s">
        <v>14</v>
      </c>
      <c r="G295" t="s">
        <v>14</v>
      </c>
      <c r="H295" t="s">
        <v>14</v>
      </c>
      <c r="I295" t="s">
        <v>14</v>
      </c>
      <c r="J295" t="s">
        <v>14</v>
      </c>
      <c r="K295">
        <v>1</v>
      </c>
      <c r="L295" t="s">
        <v>14</v>
      </c>
      <c r="M295" s="1">
        <v>4200000</v>
      </c>
      <c r="P295">
        <v>4410</v>
      </c>
      <c r="Q295">
        <f>IF(Table1[[#This Row],[furnishingstatus]]="furnished", 1, 0)</f>
        <v>0</v>
      </c>
      <c r="R295">
        <f>IF(Table1[[#This Row],[furnishingstatus]]="semi-furnished", 1, 0)</f>
        <v>0</v>
      </c>
      <c r="S295">
        <v>2</v>
      </c>
      <c r="T295">
        <v>1</v>
      </c>
      <c r="U295">
        <v>1</v>
      </c>
      <c r="V295">
        <f>IF(Table1[[#This Row],[mainroad]] = "yes", 1, 0)</f>
        <v>0</v>
      </c>
      <c r="W295">
        <f>IF(Table1[[#This Row],[guestroom]]= "yes", 1, 0)</f>
        <v>0</v>
      </c>
      <c r="X295">
        <f>IF(Table1[[#This Row],[basement]]="yes", 1, 0)</f>
        <v>0</v>
      </c>
      <c r="Y295">
        <f>IF(Table1[[#This Row],[hotwaterheating]]="yes", 1, 0)</f>
        <v>0</v>
      </c>
      <c r="Z295">
        <f>IF(Table1[[#This Row],[airconditioning]]="yes", 1, 0)</f>
        <v>0</v>
      </c>
      <c r="AA295">
        <v>1</v>
      </c>
      <c r="AB295">
        <f>IF(Table1[[#This Row],[prefarea]]= "yes", 1, 0)</f>
        <v>0</v>
      </c>
      <c r="AC295" s="1">
        <v>4200000</v>
      </c>
    </row>
    <row r="296" spans="1:29">
      <c r="A296">
        <v>4000</v>
      </c>
      <c r="B296" t="s">
        <v>16</v>
      </c>
      <c r="C296">
        <v>4</v>
      </c>
      <c r="D296">
        <v>2</v>
      </c>
      <c r="E296">
        <v>2</v>
      </c>
      <c r="F296" t="s">
        <v>14</v>
      </c>
      <c r="G296" t="s">
        <v>14</v>
      </c>
      <c r="H296" t="s">
        <v>14</v>
      </c>
      <c r="I296" t="s">
        <v>14</v>
      </c>
      <c r="J296" t="s">
        <v>14</v>
      </c>
      <c r="K296">
        <v>0</v>
      </c>
      <c r="L296" t="s">
        <v>14</v>
      </c>
      <c r="M296" s="1">
        <v>4200000</v>
      </c>
      <c r="P296">
        <v>4000</v>
      </c>
      <c r="Q296">
        <f>IF(Table1[[#This Row],[furnishingstatus]]="furnished", 1, 0)</f>
        <v>0</v>
      </c>
      <c r="R296">
        <f>IF(Table1[[#This Row],[furnishingstatus]]="semi-furnished", 1, 0)</f>
        <v>1</v>
      </c>
      <c r="S296">
        <v>4</v>
      </c>
      <c r="T296">
        <v>2</v>
      </c>
      <c r="U296">
        <v>2</v>
      </c>
      <c r="V296">
        <f>IF(Table1[[#This Row],[mainroad]] = "yes", 1, 0)</f>
        <v>0</v>
      </c>
      <c r="W296">
        <f>IF(Table1[[#This Row],[guestroom]]= "yes", 1, 0)</f>
        <v>0</v>
      </c>
      <c r="X296">
        <f>IF(Table1[[#This Row],[basement]]="yes", 1, 0)</f>
        <v>0</v>
      </c>
      <c r="Y296">
        <f>IF(Table1[[#This Row],[hotwaterheating]]="yes", 1, 0)</f>
        <v>0</v>
      </c>
      <c r="Z296">
        <f>IF(Table1[[#This Row],[airconditioning]]="yes", 1, 0)</f>
        <v>0</v>
      </c>
      <c r="AA296">
        <v>0</v>
      </c>
      <c r="AB296">
        <f>IF(Table1[[#This Row],[prefarea]]= "yes", 1, 0)</f>
        <v>0</v>
      </c>
      <c r="AC296" s="1">
        <v>4200000</v>
      </c>
    </row>
    <row r="297" spans="1:29">
      <c r="A297">
        <v>2325</v>
      </c>
      <c r="B297" t="s">
        <v>16</v>
      </c>
      <c r="C297">
        <v>3</v>
      </c>
      <c r="D297">
        <v>1</v>
      </c>
      <c r="E297">
        <v>2</v>
      </c>
      <c r="F297" t="s">
        <v>14</v>
      </c>
      <c r="G297" t="s">
        <v>14</v>
      </c>
      <c r="H297" t="s">
        <v>14</v>
      </c>
      <c r="I297" t="s">
        <v>14</v>
      </c>
      <c r="J297" t="s">
        <v>14</v>
      </c>
      <c r="K297">
        <v>0</v>
      </c>
      <c r="L297" t="s">
        <v>14</v>
      </c>
      <c r="M297" s="1">
        <v>4200000</v>
      </c>
      <c r="P297">
        <v>2325</v>
      </c>
      <c r="Q297">
        <f>IF(Table1[[#This Row],[furnishingstatus]]="furnished", 1, 0)</f>
        <v>0</v>
      </c>
      <c r="R297">
        <f>IF(Table1[[#This Row],[furnishingstatus]]="semi-furnished", 1, 0)</f>
        <v>1</v>
      </c>
      <c r="S297">
        <v>3</v>
      </c>
      <c r="T297">
        <v>1</v>
      </c>
      <c r="U297">
        <v>2</v>
      </c>
      <c r="V297">
        <f>IF(Table1[[#This Row],[mainroad]] = "yes", 1, 0)</f>
        <v>0</v>
      </c>
      <c r="W297">
        <f>IF(Table1[[#This Row],[guestroom]]= "yes", 1, 0)</f>
        <v>0</v>
      </c>
      <c r="X297">
        <f>IF(Table1[[#This Row],[basement]]="yes", 1, 0)</f>
        <v>0</v>
      </c>
      <c r="Y297">
        <f>IF(Table1[[#This Row],[hotwaterheating]]="yes", 1, 0)</f>
        <v>0</v>
      </c>
      <c r="Z297">
        <f>IF(Table1[[#This Row],[airconditioning]]="yes", 1, 0)</f>
        <v>0</v>
      </c>
      <c r="AA297">
        <v>0</v>
      </c>
      <c r="AB297">
        <f>IF(Table1[[#This Row],[prefarea]]= "yes", 1, 0)</f>
        <v>0</v>
      </c>
      <c r="AC297" s="1">
        <v>4200000</v>
      </c>
    </row>
    <row r="298" spans="1:29">
      <c r="A298">
        <v>4600</v>
      </c>
      <c r="B298" t="s">
        <v>16</v>
      </c>
      <c r="C298">
        <v>3</v>
      </c>
      <c r="D298">
        <v>2</v>
      </c>
      <c r="E298">
        <v>2</v>
      </c>
      <c r="F298" t="s">
        <v>13</v>
      </c>
      <c r="G298" t="s">
        <v>14</v>
      </c>
      <c r="H298" t="s">
        <v>14</v>
      </c>
      <c r="I298" t="s">
        <v>14</v>
      </c>
      <c r="J298" t="s">
        <v>13</v>
      </c>
      <c r="K298">
        <v>1</v>
      </c>
      <c r="L298" t="s">
        <v>14</v>
      </c>
      <c r="M298" s="1">
        <v>4200000</v>
      </c>
      <c r="P298">
        <v>4600</v>
      </c>
      <c r="Q298">
        <f>IF(Table1[[#This Row],[furnishingstatus]]="furnished", 1, 0)</f>
        <v>0</v>
      </c>
      <c r="R298">
        <f>IF(Table1[[#This Row],[furnishingstatus]]="semi-furnished", 1, 0)</f>
        <v>1</v>
      </c>
      <c r="S298">
        <v>3</v>
      </c>
      <c r="T298">
        <v>2</v>
      </c>
      <c r="U298">
        <v>2</v>
      </c>
      <c r="V298">
        <f>IF(Table1[[#This Row],[mainroad]] = "yes", 1, 0)</f>
        <v>1</v>
      </c>
      <c r="W298">
        <f>IF(Table1[[#This Row],[guestroom]]= "yes", 1, 0)</f>
        <v>0</v>
      </c>
      <c r="X298">
        <f>IF(Table1[[#This Row],[basement]]="yes", 1, 0)</f>
        <v>0</v>
      </c>
      <c r="Y298">
        <f>IF(Table1[[#This Row],[hotwaterheating]]="yes", 1, 0)</f>
        <v>0</v>
      </c>
      <c r="Z298">
        <f>IF(Table1[[#This Row],[airconditioning]]="yes", 1, 0)</f>
        <v>1</v>
      </c>
      <c r="AA298">
        <v>1</v>
      </c>
      <c r="AB298">
        <f>IF(Table1[[#This Row],[prefarea]]= "yes", 1, 0)</f>
        <v>0</v>
      </c>
      <c r="AC298" s="1">
        <v>4200000</v>
      </c>
    </row>
    <row r="299" spans="1:29">
      <c r="A299">
        <v>3640</v>
      </c>
      <c r="B299" t="s">
        <v>17</v>
      </c>
      <c r="C299">
        <v>3</v>
      </c>
      <c r="D299">
        <v>2</v>
      </c>
      <c r="E299">
        <v>2</v>
      </c>
      <c r="F299" t="s">
        <v>13</v>
      </c>
      <c r="G299" t="s">
        <v>14</v>
      </c>
      <c r="H299" t="s">
        <v>13</v>
      </c>
      <c r="I299" t="s">
        <v>14</v>
      </c>
      <c r="J299" t="s">
        <v>14</v>
      </c>
      <c r="K299">
        <v>0</v>
      </c>
      <c r="L299" t="s">
        <v>14</v>
      </c>
      <c r="M299" s="1">
        <v>4200000</v>
      </c>
      <c r="P299">
        <v>3640</v>
      </c>
      <c r="Q299">
        <f>IF(Table1[[#This Row],[furnishingstatus]]="furnished", 1, 0)</f>
        <v>0</v>
      </c>
      <c r="R299">
        <f>IF(Table1[[#This Row],[furnishingstatus]]="semi-furnished", 1, 0)</f>
        <v>0</v>
      </c>
      <c r="S299">
        <v>3</v>
      </c>
      <c r="T299">
        <v>2</v>
      </c>
      <c r="U299">
        <v>2</v>
      </c>
      <c r="V299">
        <f>IF(Table1[[#This Row],[mainroad]] = "yes", 1, 0)</f>
        <v>1</v>
      </c>
      <c r="W299">
        <f>IF(Table1[[#This Row],[guestroom]]= "yes", 1, 0)</f>
        <v>0</v>
      </c>
      <c r="X299">
        <f>IF(Table1[[#This Row],[basement]]="yes", 1, 0)</f>
        <v>1</v>
      </c>
      <c r="Y299">
        <f>IF(Table1[[#This Row],[hotwaterheating]]="yes", 1, 0)</f>
        <v>0</v>
      </c>
      <c r="Z299">
        <f>IF(Table1[[#This Row],[airconditioning]]="yes", 1, 0)</f>
        <v>0</v>
      </c>
      <c r="AA299">
        <v>0</v>
      </c>
      <c r="AB299">
        <f>IF(Table1[[#This Row],[prefarea]]= "yes", 1, 0)</f>
        <v>0</v>
      </c>
      <c r="AC299" s="1">
        <v>4200000</v>
      </c>
    </row>
    <row r="300" spans="1:29">
      <c r="A300">
        <v>5800</v>
      </c>
      <c r="B300" t="s">
        <v>16</v>
      </c>
      <c r="C300">
        <v>3</v>
      </c>
      <c r="D300">
        <v>1</v>
      </c>
      <c r="E300">
        <v>1</v>
      </c>
      <c r="F300" t="s">
        <v>13</v>
      </c>
      <c r="G300" t="s">
        <v>14</v>
      </c>
      <c r="H300" t="s">
        <v>14</v>
      </c>
      <c r="I300" t="s">
        <v>13</v>
      </c>
      <c r="J300" t="s">
        <v>14</v>
      </c>
      <c r="K300">
        <v>2</v>
      </c>
      <c r="L300" t="s">
        <v>14</v>
      </c>
      <c r="M300" s="1">
        <v>4200000</v>
      </c>
      <c r="P300">
        <v>5800</v>
      </c>
      <c r="Q300">
        <f>IF(Table1[[#This Row],[furnishingstatus]]="furnished", 1, 0)</f>
        <v>0</v>
      </c>
      <c r="R300">
        <f>IF(Table1[[#This Row],[furnishingstatus]]="semi-furnished", 1, 0)</f>
        <v>1</v>
      </c>
      <c r="S300">
        <v>3</v>
      </c>
      <c r="T300">
        <v>1</v>
      </c>
      <c r="U300">
        <v>1</v>
      </c>
      <c r="V300">
        <f>IF(Table1[[#This Row],[mainroad]] = "yes", 1, 0)</f>
        <v>1</v>
      </c>
      <c r="W300">
        <f>IF(Table1[[#This Row],[guestroom]]= "yes", 1, 0)</f>
        <v>0</v>
      </c>
      <c r="X300">
        <f>IF(Table1[[#This Row],[basement]]="yes", 1, 0)</f>
        <v>0</v>
      </c>
      <c r="Y300">
        <f>IF(Table1[[#This Row],[hotwaterheating]]="yes", 1, 0)</f>
        <v>1</v>
      </c>
      <c r="Z300">
        <f>IF(Table1[[#This Row],[airconditioning]]="yes", 1, 0)</f>
        <v>0</v>
      </c>
      <c r="AA300">
        <v>2</v>
      </c>
      <c r="AB300">
        <f>IF(Table1[[#This Row],[prefarea]]= "yes", 1, 0)</f>
        <v>0</v>
      </c>
      <c r="AC300" s="1">
        <v>4200000</v>
      </c>
    </row>
    <row r="301" spans="1:29">
      <c r="A301">
        <v>7000</v>
      </c>
      <c r="B301" t="s">
        <v>15</v>
      </c>
      <c r="C301">
        <v>3</v>
      </c>
      <c r="D301">
        <v>1</v>
      </c>
      <c r="E301">
        <v>1</v>
      </c>
      <c r="F301" t="s">
        <v>13</v>
      </c>
      <c r="G301" t="s">
        <v>14</v>
      </c>
      <c r="H301" t="s">
        <v>14</v>
      </c>
      <c r="I301" t="s">
        <v>14</v>
      </c>
      <c r="J301" t="s">
        <v>14</v>
      </c>
      <c r="K301">
        <v>3</v>
      </c>
      <c r="L301" t="s">
        <v>14</v>
      </c>
      <c r="M301" s="1">
        <v>4200000</v>
      </c>
      <c r="P301">
        <v>7000</v>
      </c>
      <c r="Q301">
        <f>IF(Table1[[#This Row],[furnishingstatus]]="furnished", 1, 0)</f>
        <v>1</v>
      </c>
      <c r="R301">
        <f>IF(Table1[[#This Row],[furnishingstatus]]="semi-furnished", 1, 0)</f>
        <v>0</v>
      </c>
      <c r="S301">
        <v>3</v>
      </c>
      <c r="T301">
        <v>1</v>
      </c>
      <c r="U301">
        <v>1</v>
      </c>
      <c r="V301">
        <f>IF(Table1[[#This Row],[mainroad]] = "yes", 1, 0)</f>
        <v>1</v>
      </c>
      <c r="W301">
        <f>IF(Table1[[#This Row],[guestroom]]= "yes", 1, 0)</f>
        <v>0</v>
      </c>
      <c r="X301">
        <f>IF(Table1[[#This Row],[basement]]="yes", 1, 0)</f>
        <v>0</v>
      </c>
      <c r="Y301">
        <f>IF(Table1[[#This Row],[hotwaterheating]]="yes", 1, 0)</f>
        <v>0</v>
      </c>
      <c r="Z301">
        <f>IF(Table1[[#This Row],[airconditioning]]="yes", 1, 0)</f>
        <v>0</v>
      </c>
      <c r="AA301">
        <v>3</v>
      </c>
      <c r="AB301">
        <f>IF(Table1[[#This Row],[prefarea]]= "yes", 1, 0)</f>
        <v>0</v>
      </c>
      <c r="AC301" s="1">
        <v>4200000</v>
      </c>
    </row>
    <row r="302" spans="1:29">
      <c r="A302">
        <v>4079</v>
      </c>
      <c r="B302" t="s">
        <v>16</v>
      </c>
      <c r="C302">
        <v>3</v>
      </c>
      <c r="D302">
        <v>1</v>
      </c>
      <c r="E302">
        <v>3</v>
      </c>
      <c r="F302" t="s">
        <v>13</v>
      </c>
      <c r="G302" t="s">
        <v>14</v>
      </c>
      <c r="H302" t="s">
        <v>14</v>
      </c>
      <c r="I302" t="s">
        <v>14</v>
      </c>
      <c r="J302" t="s">
        <v>14</v>
      </c>
      <c r="K302">
        <v>0</v>
      </c>
      <c r="L302" t="s">
        <v>14</v>
      </c>
      <c r="M302" s="1">
        <v>4200000</v>
      </c>
      <c r="P302">
        <v>4079</v>
      </c>
      <c r="Q302">
        <f>IF(Table1[[#This Row],[furnishingstatus]]="furnished", 1, 0)</f>
        <v>0</v>
      </c>
      <c r="R302">
        <f>IF(Table1[[#This Row],[furnishingstatus]]="semi-furnished", 1, 0)</f>
        <v>1</v>
      </c>
      <c r="S302">
        <v>3</v>
      </c>
      <c r="T302">
        <v>1</v>
      </c>
      <c r="U302">
        <v>3</v>
      </c>
      <c r="V302">
        <f>IF(Table1[[#This Row],[mainroad]] = "yes", 1, 0)</f>
        <v>1</v>
      </c>
      <c r="W302">
        <f>IF(Table1[[#This Row],[guestroom]]= "yes", 1, 0)</f>
        <v>0</v>
      </c>
      <c r="X302">
        <f>IF(Table1[[#This Row],[basement]]="yes", 1, 0)</f>
        <v>0</v>
      </c>
      <c r="Y302">
        <f>IF(Table1[[#This Row],[hotwaterheating]]="yes", 1, 0)</f>
        <v>0</v>
      </c>
      <c r="Z302">
        <f>IF(Table1[[#This Row],[airconditioning]]="yes", 1, 0)</f>
        <v>0</v>
      </c>
      <c r="AA302">
        <v>0</v>
      </c>
      <c r="AB302">
        <f>IF(Table1[[#This Row],[prefarea]]= "yes", 1, 0)</f>
        <v>0</v>
      </c>
      <c r="AC302" s="1">
        <v>4200000</v>
      </c>
    </row>
    <row r="303" spans="1:29">
      <c r="A303">
        <v>3520</v>
      </c>
      <c r="B303" t="s">
        <v>16</v>
      </c>
      <c r="C303">
        <v>3</v>
      </c>
      <c r="D303">
        <v>1</v>
      </c>
      <c r="E303">
        <v>2</v>
      </c>
      <c r="F303" t="s">
        <v>13</v>
      </c>
      <c r="G303" t="s">
        <v>14</v>
      </c>
      <c r="H303" t="s">
        <v>14</v>
      </c>
      <c r="I303" t="s">
        <v>14</v>
      </c>
      <c r="J303" t="s">
        <v>14</v>
      </c>
      <c r="K303">
        <v>0</v>
      </c>
      <c r="L303" t="s">
        <v>13</v>
      </c>
      <c r="M303" s="1">
        <v>4200000</v>
      </c>
      <c r="P303">
        <v>3520</v>
      </c>
      <c r="Q303">
        <f>IF(Table1[[#This Row],[furnishingstatus]]="furnished", 1, 0)</f>
        <v>0</v>
      </c>
      <c r="R303">
        <f>IF(Table1[[#This Row],[furnishingstatus]]="semi-furnished", 1, 0)</f>
        <v>1</v>
      </c>
      <c r="S303">
        <v>3</v>
      </c>
      <c r="T303">
        <v>1</v>
      </c>
      <c r="U303">
        <v>2</v>
      </c>
      <c r="V303">
        <f>IF(Table1[[#This Row],[mainroad]] = "yes", 1, 0)</f>
        <v>1</v>
      </c>
      <c r="W303">
        <f>IF(Table1[[#This Row],[guestroom]]= "yes", 1, 0)</f>
        <v>0</v>
      </c>
      <c r="X303">
        <f>IF(Table1[[#This Row],[basement]]="yes", 1, 0)</f>
        <v>0</v>
      </c>
      <c r="Y303">
        <f>IF(Table1[[#This Row],[hotwaterheating]]="yes", 1, 0)</f>
        <v>0</v>
      </c>
      <c r="Z303">
        <f>IF(Table1[[#This Row],[airconditioning]]="yes", 1, 0)</f>
        <v>0</v>
      </c>
      <c r="AA303">
        <v>0</v>
      </c>
      <c r="AB303">
        <f>IF(Table1[[#This Row],[prefarea]]= "yes", 1, 0)</f>
        <v>1</v>
      </c>
      <c r="AC303" s="1">
        <v>4200000</v>
      </c>
    </row>
    <row r="304" spans="1:29">
      <c r="A304">
        <v>2145</v>
      </c>
      <c r="B304" t="s">
        <v>17</v>
      </c>
      <c r="C304">
        <v>3</v>
      </c>
      <c r="D304">
        <v>1</v>
      </c>
      <c r="E304">
        <v>3</v>
      </c>
      <c r="F304" t="s">
        <v>13</v>
      </c>
      <c r="G304" t="s">
        <v>14</v>
      </c>
      <c r="H304" t="s">
        <v>14</v>
      </c>
      <c r="I304" t="s">
        <v>14</v>
      </c>
      <c r="J304" t="s">
        <v>14</v>
      </c>
      <c r="K304">
        <v>1</v>
      </c>
      <c r="L304" t="s">
        <v>13</v>
      </c>
      <c r="M304" s="1">
        <v>4200000</v>
      </c>
      <c r="P304">
        <v>2145</v>
      </c>
      <c r="Q304">
        <f>IF(Table1[[#This Row],[furnishingstatus]]="furnished", 1, 0)</f>
        <v>0</v>
      </c>
      <c r="R304">
        <f>IF(Table1[[#This Row],[furnishingstatus]]="semi-furnished", 1, 0)</f>
        <v>0</v>
      </c>
      <c r="S304">
        <v>3</v>
      </c>
      <c r="T304">
        <v>1</v>
      </c>
      <c r="U304">
        <v>3</v>
      </c>
      <c r="V304">
        <f>IF(Table1[[#This Row],[mainroad]] = "yes", 1, 0)</f>
        <v>1</v>
      </c>
      <c r="W304">
        <f>IF(Table1[[#This Row],[guestroom]]= "yes", 1, 0)</f>
        <v>0</v>
      </c>
      <c r="X304">
        <f>IF(Table1[[#This Row],[basement]]="yes", 1, 0)</f>
        <v>0</v>
      </c>
      <c r="Y304">
        <f>IF(Table1[[#This Row],[hotwaterheating]]="yes", 1, 0)</f>
        <v>0</v>
      </c>
      <c r="Z304">
        <f>IF(Table1[[#This Row],[airconditioning]]="yes", 1, 0)</f>
        <v>0</v>
      </c>
      <c r="AA304">
        <v>1</v>
      </c>
      <c r="AB304">
        <f>IF(Table1[[#This Row],[prefarea]]= "yes", 1, 0)</f>
        <v>1</v>
      </c>
      <c r="AC304" s="1">
        <v>4200000</v>
      </c>
    </row>
    <row r="305" spans="1:29">
      <c r="A305">
        <v>4500</v>
      </c>
      <c r="B305" t="s">
        <v>15</v>
      </c>
      <c r="C305">
        <v>3</v>
      </c>
      <c r="D305">
        <v>1</v>
      </c>
      <c r="E305">
        <v>1</v>
      </c>
      <c r="F305" t="s">
        <v>13</v>
      </c>
      <c r="G305" t="s">
        <v>14</v>
      </c>
      <c r="H305" t="s">
        <v>13</v>
      </c>
      <c r="I305" t="s">
        <v>14</v>
      </c>
      <c r="J305" t="s">
        <v>14</v>
      </c>
      <c r="K305">
        <v>0</v>
      </c>
      <c r="L305" t="s">
        <v>14</v>
      </c>
      <c r="M305" s="1">
        <v>4200000</v>
      </c>
      <c r="P305">
        <v>4500</v>
      </c>
      <c r="Q305">
        <f>IF(Table1[[#This Row],[furnishingstatus]]="furnished", 1, 0)</f>
        <v>1</v>
      </c>
      <c r="R305">
        <f>IF(Table1[[#This Row],[furnishingstatus]]="semi-furnished", 1, 0)</f>
        <v>0</v>
      </c>
      <c r="S305">
        <v>3</v>
      </c>
      <c r="T305">
        <v>1</v>
      </c>
      <c r="U305">
        <v>1</v>
      </c>
      <c r="V305">
        <f>IF(Table1[[#This Row],[mainroad]] = "yes", 1, 0)</f>
        <v>1</v>
      </c>
      <c r="W305">
        <f>IF(Table1[[#This Row],[guestroom]]= "yes", 1, 0)</f>
        <v>0</v>
      </c>
      <c r="X305">
        <f>IF(Table1[[#This Row],[basement]]="yes", 1, 0)</f>
        <v>1</v>
      </c>
      <c r="Y305">
        <f>IF(Table1[[#This Row],[hotwaterheating]]="yes", 1, 0)</f>
        <v>0</v>
      </c>
      <c r="Z305">
        <f>IF(Table1[[#This Row],[airconditioning]]="yes", 1, 0)</f>
        <v>0</v>
      </c>
      <c r="AA305">
        <v>0</v>
      </c>
      <c r="AB305">
        <f>IF(Table1[[#This Row],[prefarea]]= "yes", 1, 0)</f>
        <v>0</v>
      </c>
      <c r="AC305" s="1">
        <v>4200000</v>
      </c>
    </row>
    <row r="306" spans="1:29">
      <c r="A306">
        <v>8250</v>
      </c>
      <c r="B306" t="s">
        <v>16</v>
      </c>
      <c r="C306">
        <v>3</v>
      </c>
      <c r="D306">
        <v>1</v>
      </c>
      <c r="E306">
        <v>1</v>
      </c>
      <c r="F306" t="s">
        <v>13</v>
      </c>
      <c r="G306" t="s">
        <v>14</v>
      </c>
      <c r="H306" t="s">
        <v>13</v>
      </c>
      <c r="I306" t="s">
        <v>14</v>
      </c>
      <c r="J306" t="s">
        <v>14</v>
      </c>
      <c r="K306">
        <v>3</v>
      </c>
      <c r="L306" t="s">
        <v>14</v>
      </c>
      <c r="M306" s="1">
        <v>4193000</v>
      </c>
      <c r="P306">
        <v>8250</v>
      </c>
      <c r="Q306">
        <f>IF(Table1[[#This Row],[furnishingstatus]]="furnished", 1, 0)</f>
        <v>0</v>
      </c>
      <c r="R306">
        <f>IF(Table1[[#This Row],[furnishingstatus]]="semi-furnished", 1, 0)</f>
        <v>1</v>
      </c>
      <c r="S306">
        <v>3</v>
      </c>
      <c r="T306">
        <v>1</v>
      </c>
      <c r="U306">
        <v>1</v>
      </c>
      <c r="V306">
        <f>IF(Table1[[#This Row],[mainroad]] = "yes", 1, 0)</f>
        <v>1</v>
      </c>
      <c r="W306">
        <f>IF(Table1[[#This Row],[guestroom]]= "yes", 1, 0)</f>
        <v>0</v>
      </c>
      <c r="X306">
        <f>IF(Table1[[#This Row],[basement]]="yes", 1, 0)</f>
        <v>1</v>
      </c>
      <c r="Y306">
        <f>IF(Table1[[#This Row],[hotwaterheating]]="yes", 1, 0)</f>
        <v>0</v>
      </c>
      <c r="Z306">
        <f>IF(Table1[[#This Row],[airconditioning]]="yes", 1, 0)</f>
        <v>0</v>
      </c>
      <c r="AA306">
        <v>3</v>
      </c>
      <c r="AB306">
        <f>IF(Table1[[#This Row],[prefarea]]= "yes", 1, 0)</f>
        <v>0</v>
      </c>
      <c r="AC306" s="1">
        <v>4193000</v>
      </c>
    </row>
    <row r="307" spans="1:29">
      <c r="A307">
        <v>3450</v>
      </c>
      <c r="B307" t="s">
        <v>16</v>
      </c>
      <c r="C307">
        <v>3</v>
      </c>
      <c r="D307">
        <v>1</v>
      </c>
      <c r="E307">
        <v>2</v>
      </c>
      <c r="F307" t="s">
        <v>13</v>
      </c>
      <c r="G307" t="s">
        <v>14</v>
      </c>
      <c r="H307" t="s">
        <v>14</v>
      </c>
      <c r="I307" t="s">
        <v>14</v>
      </c>
      <c r="J307" t="s">
        <v>14</v>
      </c>
      <c r="K307">
        <v>1</v>
      </c>
      <c r="L307" t="s">
        <v>14</v>
      </c>
      <c r="M307" s="1">
        <v>4193000</v>
      </c>
      <c r="P307">
        <v>3450</v>
      </c>
      <c r="Q307">
        <f>IF(Table1[[#This Row],[furnishingstatus]]="furnished", 1, 0)</f>
        <v>0</v>
      </c>
      <c r="R307">
        <f>IF(Table1[[#This Row],[furnishingstatus]]="semi-furnished", 1, 0)</f>
        <v>1</v>
      </c>
      <c r="S307">
        <v>3</v>
      </c>
      <c r="T307">
        <v>1</v>
      </c>
      <c r="U307">
        <v>2</v>
      </c>
      <c r="V307">
        <f>IF(Table1[[#This Row],[mainroad]] = "yes", 1, 0)</f>
        <v>1</v>
      </c>
      <c r="W307">
        <f>IF(Table1[[#This Row],[guestroom]]= "yes", 1, 0)</f>
        <v>0</v>
      </c>
      <c r="X307">
        <f>IF(Table1[[#This Row],[basement]]="yes", 1, 0)</f>
        <v>0</v>
      </c>
      <c r="Y307">
        <f>IF(Table1[[#This Row],[hotwaterheating]]="yes", 1, 0)</f>
        <v>0</v>
      </c>
      <c r="Z307">
        <f>IF(Table1[[#This Row],[airconditioning]]="yes", 1, 0)</f>
        <v>0</v>
      </c>
      <c r="AA307">
        <v>1</v>
      </c>
      <c r="AB307">
        <f>IF(Table1[[#This Row],[prefarea]]= "yes", 1, 0)</f>
        <v>0</v>
      </c>
      <c r="AC307" s="1">
        <v>4193000</v>
      </c>
    </row>
    <row r="308" spans="1:29">
      <c r="A308">
        <v>4840</v>
      </c>
      <c r="B308" t="s">
        <v>16</v>
      </c>
      <c r="C308">
        <v>3</v>
      </c>
      <c r="D308">
        <v>1</v>
      </c>
      <c r="E308">
        <v>2</v>
      </c>
      <c r="F308" t="s">
        <v>13</v>
      </c>
      <c r="G308" t="s">
        <v>14</v>
      </c>
      <c r="H308" t="s">
        <v>14</v>
      </c>
      <c r="I308" t="s">
        <v>14</v>
      </c>
      <c r="J308" t="s">
        <v>14</v>
      </c>
      <c r="K308">
        <v>1</v>
      </c>
      <c r="L308" t="s">
        <v>14</v>
      </c>
      <c r="M308" s="1">
        <v>4165000</v>
      </c>
      <c r="P308">
        <v>4840</v>
      </c>
      <c r="Q308">
        <f>IF(Table1[[#This Row],[furnishingstatus]]="furnished", 1, 0)</f>
        <v>0</v>
      </c>
      <c r="R308">
        <f>IF(Table1[[#This Row],[furnishingstatus]]="semi-furnished", 1, 0)</f>
        <v>1</v>
      </c>
      <c r="S308">
        <v>3</v>
      </c>
      <c r="T308">
        <v>1</v>
      </c>
      <c r="U308">
        <v>2</v>
      </c>
      <c r="V308">
        <f>IF(Table1[[#This Row],[mainroad]] = "yes", 1, 0)</f>
        <v>1</v>
      </c>
      <c r="W308">
        <f>IF(Table1[[#This Row],[guestroom]]= "yes", 1, 0)</f>
        <v>0</v>
      </c>
      <c r="X308">
        <f>IF(Table1[[#This Row],[basement]]="yes", 1, 0)</f>
        <v>0</v>
      </c>
      <c r="Y308">
        <f>IF(Table1[[#This Row],[hotwaterheating]]="yes", 1, 0)</f>
        <v>0</v>
      </c>
      <c r="Z308">
        <f>IF(Table1[[#This Row],[airconditioning]]="yes", 1, 0)</f>
        <v>0</v>
      </c>
      <c r="AA308">
        <v>1</v>
      </c>
      <c r="AB308">
        <f>IF(Table1[[#This Row],[prefarea]]= "yes", 1, 0)</f>
        <v>0</v>
      </c>
      <c r="AC308" s="1">
        <v>4165000</v>
      </c>
    </row>
    <row r="309" spans="1:29">
      <c r="A309">
        <v>4080</v>
      </c>
      <c r="B309" t="s">
        <v>16</v>
      </c>
      <c r="C309">
        <v>3</v>
      </c>
      <c r="D309">
        <v>1</v>
      </c>
      <c r="E309">
        <v>2</v>
      </c>
      <c r="F309" t="s">
        <v>13</v>
      </c>
      <c r="G309" t="s">
        <v>14</v>
      </c>
      <c r="H309" t="s">
        <v>14</v>
      </c>
      <c r="I309" t="s">
        <v>14</v>
      </c>
      <c r="J309" t="s">
        <v>14</v>
      </c>
      <c r="K309">
        <v>2</v>
      </c>
      <c r="L309" t="s">
        <v>14</v>
      </c>
      <c r="M309" s="1">
        <v>4165000</v>
      </c>
      <c r="P309">
        <v>4080</v>
      </c>
      <c r="Q309">
        <f>IF(Table1[[#This Row],[furnishingstatus]]="furnished", 1, 0)</f>
        <v>0</v>
      </c>
      <c r="R309">
        <f>IF(Table1[[#This Row],[furnishingstatus]]="semi-furnished", 1, 0)</f>
        <v>1</v>
      </c>
      <c r="S309">
        <v>3</v>
      </c>
      <c r="T309">
        <v>1</v>
      </c>
      <c r="U309">
        <v>2</v>
      </c>
      <c r="V309">
        <f>IF(Table1[[#This Row],[mainroad]] = "yes", 1, 0)</f>
        <v>1</v>
      </c>
      <c r="W309">
        <f>IF(Table1[[#This Row],[guestroom]]= "yes", 1, 0)</f>
        <v>0</v>
      </c>
      <c r="X309">
        <f>IF(Table1[[#This Row],[basement]]="yes", 1, 0)</f>
        <v>0</v>
      </c>
      <c r="Y309">
        <f>IF(Table1[[#This Row],[hotwaterheating]]="yes", 1, 0)</f>
        <v>0</v>
      </c>
      <c r="Z309">
        <f>IF(Table1[[#This Row],[airconditioning]]="yes", 1, 0)</f>
        <v>0</v>
      </c>
      <c r="AA309">
        <v>2</v>
      </c>
      <c r="AB309">
        <f>IF(Table1[[#This Row],[prefarea]]= "yes", 1, 0)</f>
        <v>0</v>
      </c>
      <c r="AC309" s="1">
        <v>4165000</v>
      </c>
    </row>
    <row r="310" spans="1:29">
      <c r="A310">
        <v>4046</v>
      </c>
      <c r="B310" t="s">
        <v>16</v>
      </c>
      <c r="C310">
        <v>3</v>
      </c>
      <c r="D310">
        <v>1</v>
      </c>
      <c r="E310">
        <v>2</v>
      </c>
      <c r="F310" t="s">
        <v>13</v>
      </c>
      <c r="G310" t="s">
        <v>14</v>
      </c>
      <c r="H310" t="s">
        <v>13</v>
      </c>
      <c r="I310" t="s">
        <v>14</v>
      </c>
      <c r="J310" t="s">
        <v>14</v>
      </c>
      <c r="K310">
        <v>1</v>
      </c>
      <c r="L310" t="s">
        <v>14</v>
      </c>
      <c r="M310" s="1">
        <v>4165000</v>
      </c>
      <c r="P310">
        <v>4046</v>
      </c>
      <c r="Q310">
        <f>IF(Table1[[#This Row],[furnishingstatus]]="furnished", 1, 0)</f>
        <v>0</v>
      </c>
      <c r="R310">
        <f>IF(Table1[[#This Row],[furnishingstatus]]="semi-furnished", 1, 0)</f>
        <v>1</v>
      </c>
      <c r="S310">
        <v>3</v>
      </c>
      <c r="T310">
        <v>1</v>
      </c>
      <c r="U310">
        <v>2</v>
      </c>
      <c r="V310">
        <f>IF(Table1[[#This Row],[mainroad]] = "yes", 1, 0)</f>
        <v>1</v>
      </c>
      <c r="W310">
        <f>IF(Table1[[#This Row],[guestroom]]= "yes", 1, 0)</f>
        <v>0</v>
      </c>
      <c r="X310">
        <f>IF(Table1[[#This Row],[basement]]="yes", 1, 0)</f>
        <v>1</v>
      </c>
      <c r="Y310">
        <f>IF(Table1[[#This Row],[hotwaterheating]]="yes", 1, 0)</f>
        <v>0</v>
      </c>
      <c r="Z310">
        <f>IF(Table1[[#This Row],[airconditioning]]="yes", 1, 0)</f>
        <v>0</v>
      </c>
      <c r="AA310">
        <v>1</v>
      </c>
      <c r="AB310">
        <f>IF(Table1[[#This Row],[prefarea]]= "yes", 1, 0)</f>
        <v>0</v>
      </c>
      <c r="AC310" s="1">
        <v>4165000</v>
      </c>
    </row>
    <row r="311" spans="1:29">
      <c r="A311">
        <v>4632</v>
      </c>
      <c r="B311" t="s">
        <v>16</v>
      </c>
      <c r="C311">
        <v>4</v>
      </c>
      <c r="D311">
        <v>1</v>
      </c>
      <c r="E311">
        <v>2</v>
      </c>
      <c r="F311" t="s">
        <v>13</v>
      </c>
      <c r="G311" t="s">
        <v>14</v>
      </c>
      <c r="H311" t="s">
        <v>14</v>
      </c>
      <c r="I311" t="s">
        <v>14</v>
      </c>
      <c r="J311" t="s">
        <v>13</v>
      </c>
      <c r="K311">
        <v>0</v>
      </c>
      <c r="L311" t="s">
        <v>14</v>
      </c>
      <c r="M311" s="1">
        <v>4130000</v>
      </c>
      <c r="P311">
        <v>4632</v>
      </c>
      <c r="Q311">
        <f>IF(Table1[[#This Row],[furnishingstatus]]="furnished", 1, 0)</f>
        <v>0</v>
      </c>
      <c r="R311">
        <f>IF(Table1[[#This Row],[furnishingstatus]]="semi-furnished", 1, 0)</f>
        <v>1</v>
      </c>
      <c r="S311">
        <v>4</v>
      </c>
      <c r="T311">
        <v>1</v>
      </c>
      <c r="U311">
        <v>2</v>
      </c>
      <c r="V311">
        <f>IF(Table1[[#This Row],[mainroad]] = "yes", 1, 0)</f>
        <v>1</v>
      </c>
      <c r="W311">
        <f>IF(Table1[[#This Row],[guestroom]]= "yes", 1, 0)</f>
        <v>0</v>
      </c>
      <c r="X311">
        <f>IF(Table1[[#This Row],[basement]]="yes", 1, 0)</f>
        <v>0</v>
      </c>
      <c r="Y311">
        <f>IF(Table1[[#This Row],[hotwaterheating]]="yes", 1, 0)</f>
        <v>0</v>
      </c>
      <c r="Z311">
        <f>IF(Table1[[#This Row],[airconditioning]]="yes", 1, 0)</f>
        <v>1</v>
      </c>
      <c r="AA311">
        <v>0</v>
      </c>
      <c r="AB311">
        <f>IF(Table1[[#This Row],[prefarea]]= "yes", 1, 0)</f>
        <v>0</v>
      </c>
      <c r="AC311" s="1">
        <v>4130000</v>
      </c>
    </row>
    <row r="312" spans="1:29">
      <c r="A312">
        <v>5985</v>
      </c>
      <c r="B312" t="s">
        <v>16</v>
      </c>
      <c r="C312">
        <v>3</v>
      </c>
      <c r="D312">
        <v>1</v>
      </c>
      <c r="E312">
        <v>1</v>
      </c>
      <c r="F312" t="s">
        <v>13</v>
      </c>
      <c r="G312" t="s">
        <v>14</v>
      </c>
      <c r="H312" t="s">
        <v>13</v>
      </c>
      <c r="I312" t="s">
        <v>14</v>
      </c>
      <c r="J312" t="s">
        <v>14</v>
      </c>
      <c r="K312">
        <v>0</v>
      </c>
      <c r="L312" t="s">
        <v>14</v>
      </c>
      <c r="M312" s="1">
        <v>4130000</v>
      </c>
      <c r="P312">
        <v>5985</v>
      </c>
      <c r="Q312">
        <f>IF(Table1[[#This Row],[furnishingstatus]]="furnished", 1, 0)</f>
        <v>0</v>
      </c>
      <c r="R312">
        <f>IF(Table1[[#This Row],[furnishingstatus]]="semi-furnished", 1, 0)</f>
        <v>1</v>
      </c>
      <c r="S312">
        <v>3</v>
      </c>
      <c r="T312">
        <v>1</v>
      </c>
      <c r="U312">
        <v>1</v>
      </c>
      <c r="V312">
        <f>IF(Table1[[#This Row],[mainroad]] = "yes", 1, 0)</f>
        <v>1</v>
      </c>
      <c r="W312">
        <f>IF(Table1[[#This Row],[guestroom]]= "yes", 1, 0)</f>
        <v>0</v>
      </c>
      <c r="X312">
        <f>IF(Table1[[#This Row],[basement]]="yes", 1, 0)</f>
        <v>1</v>
      </c>
      <c r="Y312">
        <f>IF(Table1[[#This Row],[hotwaterheating]]="yes", 1, 0)</f>
        <v>0</v>
      </c>
      <c r="Z312">
        <f>IF(Table1[[#This Row],[airconditioning]]="yes", 1, 0)</f>
        <v>0</v>
      </c>
      <c r="AA312">
        <v>0</v>
      </c>
      <c r="AB312">
        <f>IF(Table1[[#This Row],[prefarea]]= "yes", 1, 0)</f>
        <v>0</v>
      </c>
      <c r="AC312" s="1">
        <v>4130000</v>
      </c>
    </row>
    <row r="313" spans="1:29">
      <c r="A313">
        <v>6060</v>
      </c>
      <c r="B313" t="s">
        <v>16</v>
      </c>
      <c r="C313">
        <v>2</v>
      </c>
      <c r="D313">
        <v>1</v>
      </c>
      <c r="E313">
        <v>1</v>
      </c>
      <c r="F313" t="s">
        <v>13</v>
      </c>
      <c r="G313" t="s">
        <v>14</v>
      </c>
      <c r="H313" t="s">
        <v>13</v>
      </c>
      <c r="I313" t="s">
        <v>14</v>
      </c>
      <c r="J313" t="s">
        <v>14</v>
      </c>
      <c r="K313">
        <v>1</v>
      </c>
      <c r="L313" t="s">
        <v>14</v>
      </c>
      <c r="M313" s="1">
        <v>4123000</v>
      </c>
      <c r="P313">
        <v>6060</v>
      </c>
      <c r="Q313">
        <f>IF(Table1[[#This Row],[furnishingstatus]]="furnished", 1, 0)</f>
        <v>0</v>
      </c>
      <c r="R313">
        <f>IF(Table1[[#This Row],[furnishingstatus]]="semi-furnished", 1, 0)</f>
        <v>1</v>
      </c>
      <c r="S313">
        <v>2</v>
      </c>
      <c r="T313">
        <v>1</v>
      </c>
      <c r="U313">
        <v>1</v>
      </c>
      <c r="V313">
        <f>IF(Table1[[#This Row],[mainroad]] = "yes", 1, 0)</f>
        <v>1</v>
      </c>
      <c r="W313">
        <f>IF(Table1[[#This Row],[guestroom]]= "yes", 1, 0)</f>
        <v>0</v>
      </c>
      <c r="X313">
        <f>IF(Table1[[#This Row],[basement]]="yes", 1, 0)</f>
        <v>1</v>
      </c>
      <c r="Y313">
        <f>IF(Table1[[#This Row],[hotwaterheating]]="yes", 1, 0)</f>
        <v>0</v>
      </c>
      <c r="Z313">
        <f>IF(Table1[[#This Row],[airconditioning]]="yes", 1, 0)</f>
        <v>0</v>
      </c>
      <c r="AA313">
        <v>1</v>
      </c>
      <c r="AB313">
        <f>IF(Table1[[#This Row],[prefarea]]= "yes", 1, 0)</f>
        <v>0</v>
      </c>
      <c r="AC313" s="1">
        <v>4123000</v>
      </c>
    </row>
    <row r="314" spans="1:29">
      <c r="A314">
        <v>3600</v>
      </c>
      <c r="B314" t="s">
        <v>15</v>
      </c>
      <c r="C314">
        <v>3</v>
      </c>
      <c r="D314">
        <v>1</v>
      </c>
      <c r="E314">
        <v>1</v>
      </c>
      <c r="F314" t="s">
        <v>13</v>
      </c>
      <c r="G314" t="s">
        <v>14</v>
      </c>
      <c r="H314" t="s">
        <v>13</v>
      </c>
      <c r="I314" t="s">
        <v>14</v>
      </c>
      <c r="J314" t="s">
        <v>13</v>
      </c>
      <c r="K314">
        <v>0</v>
      </c>
      <c r="L314" t="s">
        <v>13</v>
      </c>
      <c r="M314" s="1">
        <v>4098500</v>
      </c>
      <c r="P314">
        <v>3600</v>
      </c>
      <c r="Q314">
        <f>IF(Table1[[#This Row],[furnishingstatus]]="furnished", 1, 0)</f>
        <v>1</v>
      </c>
      <c r="R314">
        <f>IF(Table1[[#This Row],[furnishingstatus]]="semi-furnished", 1, 0)</f>
        <v>0</v>
      </c>
      <c r="S314">
        <v>3</v>
      </c>
      <c r="T314">
        <v>1</v>
      </c>
      <c r="U314">
        <v>1</v>
      </c>
      <c r="V314">
        <f>IF(Table1[[#This Row],[mainroad]] = "yes", 1, 0)</f>
        <v>1</v>
      </c>
      <c r="W314">
        <f>IF(Table1[[#This Row],[guestroom]]= "yes", 1, 0)</f>
        <v>0</v>
      </c>
      <c r="X314">
        <f>IF(Table1[[#This Row],[basement]]="yes", 1, 0)</f>
        <v>1</v>
      </c>
      <c r="Y314">
        <f>IF(Table1[[#This Row],[hotwaterheating]]="yes", 1, 0)</f>
        <v>0</v>
      </c>
      <c r="Z314">
        <f>IF(Table1[[#This Row],[airconditioning]]="yes", 1, 0)</f>
        <v>1</v>
      </c>
      <c r="AA314">
        <v>0</v>
      </c>
      <c r="AB314">
        <f>IF(Table1[[#This Row],[prefarea]]= "yes", 1, 0)</f>
        <v>1</v>
      </c>
      <c r="AC314" s="1">
        <v>4098500</v>
      </c>
    </row>
    <row r="315" spans="1:29">
      <c r="A315">
        <v>3680</v>
      </c>
      <c r="B315" t="s">
        <v>16</v>
      </c>
      <c r="C315">
        <v>3</v>
      </c>
      <c r="D315">
        <v>2</v>
      </c>
      <c r="E315">
        <v>2</v>
      </c>
      <c r="F315" t="s">
        <v>13</v>
      </c>
      <c r="G315" t="s">
        <v>14</v>
      </c>
      <c r="H315" t="s">
        <v>14</v>
      </c>
      <c r="I315" t="s">
        <v>14</v>
      </c>
      <c r="J315" t="s">
        <v>14</v>
      </c>
      <c r="K315">
        <v>0</v>
      </c>
      <c r="L315" t="s">
        <v>14</v>
      </c>
      <c r="M315" s="1">
        <v>4095000</v>
      </c>
      <c r="P315">
        <v>3680</v>
      </c>
      <c r="Q315">
        <f>IF(Table1[[#This Row],[furnishingstatus]]="furnished", 1, 0)</f>
        <v>0</v>
      </c>
      <c r="R315">
        <f>IF(Table1[[#This Row],[furnishingstatus]]="semi-furnished", 1, 0)</f>
        <v>1</v>
      </c>
      <c r="S315">
        <v>3</v>
      </c>
      <c r="T315">
        <v>2</v>
      </c>
      <c r="U315">
        <v>2</v>
      </c>
      <c r="V315">
        <f>IF(Table1[[#This Row],[mainroad]] = "yes", 1, 0)</f>
        <v>1</v>
      </c>
      <c r="W315">
        <f>IF(Table1[[#This Row],[guestroom]]= "yes", 1, 0)</f>
        <v>0</v>
      </c>
      <c r="X315">
        <f>IF(Table1[[#This Row],[basement]]="yes", 1, 0)</f>
        <v>0</v>
      </c>
      <c r="Y315">
        <f>IF(Table1[[#This Row],[hotwaterheating]]="yes", 1, 0)</f>
        <v>0</v>
      </c>
      <c r="Z315">
        <f>IF(Table1[[#This Row],[airconditioning]]="yes", 1, 0)</f>
        <v>0</v>
      </c>
      <c r="AA315">
        <v>0</v>
      </c>
      <c r="AB315">
        <f>IF(Table1[[#This Row],[prefarea]]= "yes", 1, 0)</f>
        <v>0</v>
      </c>
      <c r="AC315" s="1">
        <v>4095000</v>
      </c>
    </row>
    <row r="316" spans="1:29">
      <c r="A316">
        <v>4040</v>
      </c>
      <c r="B316" t="s">
        <v>16</v>
      </c>
      <c r="C316">
        <v>2</v>
      </c>
      <c r="D316">
        <v>1</v>
      </c>
      <c r="E316">
        <v>2</v>
      </c>
      <c r="F316" t="s">
        <v>13</v>
      </c>
      <c r="G316" t="s">
        <v>14</v>
      </c>
      <c r="H316" t="s">
        <v>14</v>
      </c>
      <c r="I316" t="s">
        <v>14</v>
      </c>
      <c r="J316" t="s">
        <v>14</v>
      </c>
      <c r="K316">
        <v>1</v>
      </c>
      <c r="L316" t="s">
        <v>14</v>
      </c>
      <c r="M316" s="1">
        <v>4095000</v>
      </c>
      <c r="P316">
        <v>4040</v>
      </c>
      <c r="Q316">
        <f>IF(Table1[[#This Row],[furnishingstatus]]="furnished", 1, 0)</f>
        <v>0</v>
      </c>
      <c r="R316">
        <f>IF(Table1[[#This Row],[furnishingstatus]]="semi-furnished", 1, 0)</f>
        <v>1</v>
      </c>
      <c r="S316">
        <v>2</v>
      </c>
      <c r="T316">
        <v>1</v>
      </c>
      <c r="U316">
        <v>2</v>
      </c>
      <c r="V316">
        <f>IF(Table1[[#This Row],[mainroad]] = "yes", 1, 0)</f>
        <v>1</v>
      </c>
      <c r="W316">
        <f>IF(Table1[[#This Row],[guestroom]]= "yes", 1, 0)</f>
        <v>0</v>
      </c>
      <c r="X316">
        <f>IF(Table1[[#This Row],[basement]]="yes", 1, 0)</f>
        <v>0</v>
      </c>
      <c r="Y316">
        <f>IF(Table1[[#This Row],[hotwaterheating]]="yes", 1, 0)</f>
        <v>0</v>
      </c>
      <c r="Z316">
        <f>IF(Table1[[#This Row],[airconditioning]]="yes", 1, 0)</f>
        <v>0</v>
      </c>
      <c r="AA316">
        <v>1</v>
      </c>
      <c r="AB316">
        <f>IF(Table1[[#This Row],[prefarea]]= "yes", 1, 0)</f>
        <v>0</v>
      </c>
      <c r="AC316" s="1">
        <v>4095000</v>
      </c>
    </row>
    <row r="317" spans="1:29">
      <c r="A317">
        <v>5600</v>
      </c>
      <c r="B317" t="s">
        <v>16</v>
      </c>
      <c r="C317">
        <v>2</v>
      </c>
      <c r="D317">
        <v>1</v>
      </c>
      <c r="E317">
        <v>1</v>
      </c>
      <c r="F317" t="s">
        <v>13</v>
      </c>
      <c r="G317" t="s">
        <v>14</v>
      </c>
      <c r="H317" t="s">
        <v>14</v>
      </c>
      <c r="I317" t="s">
        <v>14</v>
      </c>
      <c r="J317" t="s">
        <v>13</v>
      </c>
      <c r="K317">
        <v>0</v>
      </c>
      <c r="L317" t="s">
        <v>14</v>
      </c>
      <c r="M317" s="1">
        <v>4095000</v>
      </c>
      <c r="P317">
        <v>5600</v>
      </c>
      <c r="Q317">
        <f>IF(Table1[[#This Row],[furnishingstatus]]="furnished", 1, 0)</f>
        <v>0</v>
      </c>
      <c r="R317">
        <f>IF(Table1[[#This Row],[furnishingstatus]]="semi-furnished", 1, 0)</f>
        <v>1</v>
      </c>
      <c r="S317">
        <v>2</v>
      </c>
      <c r="T317">
        <v>1</v>
      </c>
      <c r="U317">
        <v>1</v>
      </c>
      <c r="V317">
        <f>IF(Table1[[#This Row],[mainroad]] = "yes", 1, 0)</f>
        <v>1</v>
      </c>
      <c r="W317">
        <f>IF(Table1[[#This Row],[guestroom]]= "yes", 1, 0)</f>
        <v>0</v>
      </c>
      <c r="X317">
        <f>IF(Table1[[#This Row],[basement]]="yes", 1, 0)</f>
        <v>0</v>
      </c>
      <c r="Y317">
        <f>IF(Table1[[#This Row],[hotwaterheating]]="yes", 1, 0)</f>
        <v>0</v>
      </c>
      <c r="Z317">
        <f>IF(Table1[[#This Row],[airconditioning]]="yes", 1, 0)</f>
        <v>1</v>
      </c>
      <c r="AA317">
        <v>0</v>
      </c>
      <c r="AB317">
        <f>IF(Table1[[#This Row],[prefarea]]= "yes", 1, 0)</f>
        <v>0</v>
      </c>
      <c r="AC317" s="1">
        <v>4095000</v>
      </c>
    </row>
    <row r="318" spans="1:29">
      <c r="A318">
        <v>5900</v>
      </c>
      <c r="B318" t="s">
        <v>17</v>
      </c>
      <c r="C318">
        <v>4</v>
      </c>
      <c r="D318">
        <v>2</v>
      </c>
      <c r="E318">
        <v>2</v>
      </c>
      <c r="F318" t="s">
        <v>14</v>
      </c>
      <c r="G318" t="s">
        <v>14</v>
      </c>
      <c r="H318" t="s">
        <v>13</v>
      </c>
      <c r="I318" t="s">
        <v>14</v>
      </c>
      <c r="J318" t="s">
        <v>14</v>
      </c>
      <c r="K318">
        <v>1</v>
      </c>
      <c r="L318" t="s">
        <v>14</v>
      </c>
      <c r="M318" s="1">
        <v>4060000</v>
      </c>
      <c r="P318">
        <v>5900</v>
      </c>
      <c r="Q318">
        <f>IF(Table1[[#This Row],[furnishingstatus]]="furnished", 1, 0)</f>
        <v>0</v>
      </c>
      <c r="R318">
        <f>IF(Table1[[#This Row],[furnishingstatus]]="semi-furnished", 1, 0)</f>
        <v>0</v>
      </c>
      <c r="S318">
        <v>4</v>
      </c>
      <c r="T318">
        <v>2</v>
      </c>
      <c r="U318">
        <v>2</v>
      </c>
      <c r="V318">
        <f>IF(Table1[[#This Row],[mainroad]] = "yes", 1, 0)</f>
        <v>0</v>
      </c>
      <c r="W318">
        <f>IF(Table1[[#This Row],[guestroom]]= "yes", 1, 0)</f>
        <v>0</v>
      </c>
      <c r="X318">
        <f>IF(Table1[[#This Row],[basement]]="yes", 1, 0)</f>
        <v>1</v>
      </c>
      <c r="Y318">
        <f>IF(Table1[[#This Row],[hotwaterheating]]="yes", 1, 0)</f>
        <v>0</v>
      </c>
      <c r="Z318">
        <f>IF(Table1[[#This Row],[airconditioning]]="yes", 1, 0)</f>
        <v>0</v>
      </c>
      <c r="AA318">
        <v>1</v>
      </c>
      <c r="AB318">
        <f>IF(Table1[[#This Row],[prefarea]]= "yes", 1, 0)</f>
        <v>0</v>
      </c>
      <c r="AC318" s="1">
        <v>4060000</v>
      </c>
    </row>
    <row r="319" spans="1:29">
      <c r="A319">
        <v>4992</v>
      </c>
      <c r="B319" t="s">
        <v>17</v>
      </c>
      <c r="C319">
        <v>3</v>
      </c>
      <c r="D319">
        <v>2</v>
      </c>
      <c r="E319">
        <v>2</v>
      </c>
      <c r="F319" t="s">
        <v>13</v>
      </c>
      <c r="G319" t="s">
        <v>14</v>
      </c>
      <c r="H319" t="s">
        <v>14</v>
      </c>
      <c r="I319" t="s">
        <v>14</v>
      </c>
      <c r="J319" t="s">
        <v>14</v>
      </c>
      <c r="K319">
        <v>2</v>
      </c>
      <c r="L319" t="s">
        <v>14</v>
      </c>
      <c r="M319" s="1">
        <v>4060000</v>
      </c>
      <c r="P319">
        <v>4992</v>
      </c>
      <c r="Q319">
        <f>IF(Table1[[#This Row],[furnishingstatus]]="furnished", 1, 0)</f>
        <v>0</v>
      </c>
      <c r="R319">
        <f>IF(Table1[[#This Row],[furnishingstatus]]="semi-furnished", 1, 0)</f>
        <v>0</v>
      </c>
      <c r="S319">
        <v>3</v>
      </c>
      <c r="T319">
        <v>2</v>
      </c>
      <c r="U319">
        <v>2</v>
      </c>
      <c r="V319">
        <f>IF(Table1[[#This Row],[mainroad]] = "yes", 1, 0)</f>
        <v>1</v>
      </c>
      <c r="W319">
        <f>IF(Table1[[#This Row],[guestroom]]= "yes", 1, 0)</f>
        <v>0</v>
      </c>
      <c r="X319">
        <f>IF(Table1[[#This Row],[basement]]="yes", 1, 0)</f>
        <v>0</v>
      </c>
      <c r="Y319">
        <f>IF(Table1[[#This Row],[hotwaterheating]]="yes", 1, 0)</f>
        <v>0</v>
      </c>
      <c r="Z319">
        <f>IF(Table1[[#This Row],[airconditioning]]="yes", 1, 0)</f>
        <v>0</v>
      </c>
      <c r="AA319">
        <v>2</v>
      </c>
      <c r="AB319">
        <f>IF(Table1[[#This Row],[prefarea]]= "yes", 1, 0)</f>
        <v>0</v>
      </c>
      <c r="AC319" s="1">
        <v>4060000</v>
      </c>
    </row>
    <row r="320" spans="1:29">
      <c r="A320">
        <v>4340</v>
      </c>
      <c r="B320" t="s">
        <v>16</v>
      </c>
      <c r="C320">
        <v>3</v>
      </c>
      <c r="D320">
        <v>1</v>
      </c>
      <c r="E320">
        <v>1</v>
      </c>
      <c r="F320" t="s">
        <v>13</v>
      </c>
      <c r="G320" t="s">
        <v>14</v>
      </c>
      <c r="H320" t="s">
        <v>14</v>
      </c>
      <c r="I320" t="s">
        <v>14</v>
      </c>
      <c r="J320" t="s">
        <v>14</v>
      </c>
      <c r="K320">
        <v>0</v>
      </c>
      <c r="L320" t="s">
        <v>14</v>
      </c>
      <c r="M320" s="1">
        <v>4060000</v>
      </c>
      <c r="P320">
        <v>4340</v>
      </c>
      <c r="Q320">
        <f>IF(Table1[[#This Row],[furnishingstatus]]="furnished", 1, 0)</f>
        <v>0</v>
      </c>
      <c r="R320">
        <f>IF(Table1[[#This Row],[furnishingstatus]]="semi-furnished", 1, 0)</f>
        <v>1</v>
      </c>
      <c r="S320">
        <v>3</v>
      </c>
      <c r="T320">
        <v>1</v>
      </c>
      <c r="U320">
        <v>1</v>
      </c>
      <c r="V320">
        <f>IF(Table1[[#This Row],[mainroad]] = "yes", 1, 0)</f>
        <v>1</v>
      </c>
      <c r="W320">
        <f>IF(Table1[[#This Row],[guestroom]]= "yes", 1, 0)</f>
        <v>0</v>
      </c>
      <c r="X320">
        <f>IF(Table1[[#This Row],[basement]]="yes", 1, 0)</f>
        <v>0</v>
      </c>
      <c r="Y320">
        <f>IF(Table1[[#This Row],[hotwaterheating]]="yes", 1, 0)</f>
        <v>0</v>
      </c>
      <c r="Z320">
        <f>IF(Table1[[#This Row],[airconditioning]]="yes", 1, 0)</f>
        <v>0</v>
      </c>
      <c r="AA320">
        <v>0</v>
      </c>
      <c r="AB320">
        <f>IF(Table1[[#This Row],[prefarea]]= "yes", 1, 0)</f>
        <v>0</v>
      </c>
      <c r="AC320" s="1">
        <v>4060000</v>
      </c>
    </row>
    <row r="321" spans="1:29">
      <c r="A321">
        <v>3000</v>
      </c>
      <c r="B321" t="s">
        <v>16</v>
      </c>
      <c r="C321">
        <v>4</v>
      </c>
      <c r="D321">
        <v>1</v>
      </c>
      <c r="E321">
        <v>3</v>
      </c>
      <c r="F321" t="s">
        <v>13</v>
      </c>
      <c r="G321" t="s">
        <v>14</v>
      </c>
      <c r="H321" t="s">
        <v>13</v>
      </c>
      <c r="I321" t="s">
        <v>14</v>
      </c>
      <c r="J321" t="s">
        <v>13</v>
      </c>
      <c r="K321">
        <v>2</v>
      </c>
      <c r="L321" t="s">
        <v>14</v>
      </c>
      <c r="M321" s="1">
        <v>4060000</v>
      </c>
      <c r="P321">
        <v>3000</v>
      </c>
      <c r="Q321">
        <f>IF(Table1[[#This Row],[furnishingstatus]]="furnished", 1, 0)</f>
        <v>0</v>
      </c>
      <c r="R321">
        <f>IF(Table1[[#This Row],[furnishingstatus]]="semi-furnished", 1, 0)</f>
        <v>1</v>
      </c>
      <c r="S321">
        <v>4</v>
      </c>
      <c r="T321">
        <v>1</v>
      </c>
      <c r="U321">
        <v>3</v>
      </c>
      <c r="V321">
        <f>IF(Table1[[#This Row],[mainroad]] = "yes", 1, 0)</f>
        <v>1</v>
      </c>
      <c r="W321">
        <f>IF(Table1[[#This Row],[guestroom]]= "yes", 1, 0)</f>
        <v>0</v>
      </c>
      <c r="X321">
        <f>IF(Table1[[#This Row],[basement]]="yes", 1, 0)</f>
        <v>1</v>
      </c>
      <c r="Y321">
        <f>IF(Table1[[#This Row],[hotwaterheating]]="yes", 1, 0)</f>
        <v>0</v>
      </c>
      <c r="Z321">
        <f>IF(Table1[[#This Row],[airconditioning]]="yes", 1, 0)</f>
        <v>1</v>
      </c>
      <c r="AA321">
        <v>2</v>
      </c>
      <c r="AB321">
        <f>IF(Table1[[#This Row],[prefarea]]= "yes", 1, 0)</f>
        <v>0</v>
      </c>
      <c r="AC321" s="1">
        <v>4060000</v>
      </c>
    </row>
    <row r="322" spans="1:29">
      <c r="A322">
        <v>4320</v>
      </c>
      <c r="B322" t="s">
        <v>15</v>
      </c>
      <c r="C322">
        <v>3</v>
      </c>
      <c r="D322">
        <v>1</v>
      </c>
      <c r="E322">
        <v>2</v>
      </c>
      <c r="F322" t="s">
        <v>13</v>
      </c>
      <c r="G322" t="s">
        <v>14</v>
      </c>
      <c r="H322" t="s">
        <v>14</v>
      </c>
      <c r="I322" t="s">
        <v>14</v>
      </c>
      <c r="J322" t="s">
        <v>14</v>
      </c>
      <c r="K322">
        <v>2</v>
      </c>
      <c r="L322" t="s">
        <v>13</v>
      </c>
      <c r="M322" s="1">
        <v>4060000</v>
      </c>
      <c r="P322">
        <v>4320</v>
      </c>
      <c r="Q322">
        <f>IF(Table1[[#This Row],[furnishingstatus]]="furnished", 1, 0)</f>
        <v>1</v>
      </c>
      <c r="R322">
        <f>IF(Table1[[#This Row],[furnishingstatus]]="semi-furnished", 1, 0)</f>
        <v>0</v>
      </c>
      <c r="S322">
        <v>3</v>
      </c>
      <c r="T322">
        <v>1</v>
      </c>
      <c r="U322">
        <v>2</v>
      </c>
      <c r="V322">
        <f>IF(Table1[[#This Row],[mainroad]] = "yes", 1, 0)</f>
        <v>1</v>
      </c>
      <c r="W322">
        <f>IF(Table1[[#This Row],[guestroom]]= "yes", 1, 0)</f>
        <v>0</v>
      </c>
      <c r="X322">
        <f>IF(Table1[[#This Row],[basement]]="yes", 1, 0)</f>
        <v>0</v>
      </c>
      <c r="Y322">
        <f>IF(Table1[[#This Row],[hotwaterheating]]="yes", 1, 0)</f>
        <v>0</v>
      </c>
      <c r="Z322">
        <f>IF(Table1[[#This Row],[airconditioning]]="yes", 1, 0)</f>
        <v>0</v>
      </c>
      <c r="AA322">
        <v>2</v>
      </c>
      <c r="AB322">
        <f>IF(Table1[[#This Row],[prefarea]]= "yes", 1, 0)</f>
        <v>1</v>
      </c>
      <c r="AC322" s="1">
        <v>4060000</v>
      </c>
    </row>
    <row r="323" spans="1:29">
      <c r="A323">
        <v>3630</v>
      </c>
      <c r="B323" t="s">
        <v>16</v>
      </c>
      <c r="C323">
        <v>3</v>
      </c>
      <c r="D323">
        <v>2</v>
      </c>
      <c r="E323">
        <v>2</v>
      </c>
      <c r="F323" t="s">
        <v>13</v>
      </c>
      <c r="G323" t="s">
        <v>14</v>
      </c>
      <c r="H323" t="s">
        <v>14</v>
      </c>
      <c r="I323" t="s">
        <v>13</v>
      </c>
      <c r="J323" t="s">
        <v>14</v>
      </c>
      <c r="K323">
        <v>2</v>
      </c>
      <c r="L323" t="s">
        <v>14</v>
      </c>
      <c r="M323" s="1">
        <v>4025000</v>
      </c>
      <c r="P323">
        <v>3630</v>
      </c>
      <c r="Q323">
        <f>IF(Table1[[#This Row],[furnishingstatus]]="furnished", 1, 0)</f>
        <v>0</v>
      </c>
      <c r="R323">
        <f>IF(Table1[[#This Row],[furnishingstatus]]="semi-furnished", 1, 0)</f>
        <v>1</v>
      </c>
      <c r="S323">
        <v>3</v>
      </c>
      <c r="T323">
        <v>2</v>
      </c>
      <c r="U323">
        <v>2</v>
      </c>
      <c r="V323">
        <f>IF(Table1[[#This Row],[mainroad]] = "yes", 1, 0)</f>
        <v>1</v>
      </c>
      <c r="W323">
        <f>IF(Table1[[#This Row],[guestroom]]= "yes", 1, 0)</f>
        <v>0</v>
      </c>
      <c r="X323">
        <f>IF(Table1[[#This Row],[basement]]="yes", 1, 0)</f>
        <v>0</v>
      </c>
      <c r="Y323">
        <f>IF(Table1[[#This Row],[hotwaterheating]]="yes", 1, 0)</f>
        <v>1</v>
      </c>
      <c r="Z323">
        <f>IF(Table1[[#This Row],[airconditioning]]="yes", 1, 0)</f>
        <v>0</v>
      </c>
      <c r="AA323">
        <v>2</v>
      </c>
      <c r="AB323">
        <f>IF(Table1[[#This Row],[prefarea]]= "yes", 1, 0)</f>
        <v>0</v>
      </c>
      <c r="AC323" s="1">
        <v>4025000</v>
      </c>
    </row>
    <row r="324" spans="1:29">
      <c r="A324">
        <v>3460</v>
      </c>
      <c r="B324" t="s">
        <v>15</v>
      </c>
      <c r="C324">
        <v>3</v>
      </c>
      <c r="D324">
        <v>2</v>
      </c>
      <c r="E324">
        <v>1</v>
      </c>
      <c r="F324" t="s">
        <v>13</v>
      </c>
      <c r="G324" t="s">
        <v>14</v>
      </c>
      <c r="H324" t="s">
        <v>13</v>
      </c>
      <c r="I324" t="s">
        <v>14</v>
      </c>
      <c r="J324" t="s">
        <v>13</v>
      </c>
      <c r="K324">
        <v>1</v>
      </c>
      <c r="L324" t="s">
        <v>14</v>
      </c>
      <c r="M324" s="1">
        <v>4025000</v>
      </c>
      <c r="P324">
        <v>3460</v>
      </c>
      <c r="Q324">
        <f>IF(Table1[[#This Row],[furnishingstatus]]="furnished", 1, 0)</f>
        <v>1</v>
      </c>
      <c r="R324">
        <f>IF(Table1[[#This Row],[furnishingstatus]]="semi-furnished", 1, 0)</f>
        <v>0</v>
      </c>
      <c r="S324">
        <v>3</v>
      </c>
      <c r="T324">
        <v>2</v>
      </c>
      <c r="U324">
        <v>1</v>
      </c>
      <c r="V324">
        <f>IF(Table1[[#This Row],[mainroad]] = "yes", 1, 0)</f>
        <v>1</v>
      </c>
      <c r="W324">
        <f>IF(Table1[[#This Row],[guestroom]]= "yes", 1, 0)</f>
        <v>0</v>
      </c>
      <c r="X324">
        <f>IF(Table1[[#This Row],[basement]]="yes", 1, 0)</f>
        <v>1</v>
      </c>
      <c r="Y324">
        <f>IF(Table1[[#This Row],[hotwaterheating]]="yes", 1, 0)</f>
        <v>0</v>
      </c>
      <c r="Z324">
        <f>IF(Table1[[#This Row],[airconditioning]]="yes", 1, 0)</f>
        <v>1</v>
      </c>
      <c r="AA324">
        <v>1</v>
      </c>
      <c r="AB324">
        <f>IF(Table1[[#This Row],[prefarea]]= "yes", 1, 0)</f>
        <v>0</v>
      </c>
      <c r="AC324" s="1">
        <v>4025000</v>
      </c>
    </row>
    <row r="325" spans="1:29">
      <c r="A325">
        <v>5400</v>
      </c>
      <c r="B325" t="s">
        <v>16</v>
      </c>
      <c r="C325">
        <v>3</v>
      </c>
      <c r="D325">
        <v>1</v>
      </c>
      <c r="E325">
        <v>1</v>
      </c>
      <c r="F325" t="s">
        <v>13</v>
      </c>
      <c r="G325" t="s">
        <v>14</v>
      </c>
      <c r="H325" t="s">
        <v>14</v>
      </c>
      <c r="I325" t="s">
        <v>14</v>
      </c>
      <c r="J325" t="s">
        <v>14</v>
      </c>
      <c r="K325">
        <v>3</v>
      </c>
      <c r="L325" t="s">
        <v>14</v>
      </c>
      <c r="M325" s="1">
        <v>4025000</v>
      </c>
      <c r="P325">
        <v>5400</v>
      </c>
      <c r="Q325">
        <f>IF(Table1[[#This Row],[furnishingstatus]]="furnished", 1, 0)</f>
        <v>0</v>
      </c>
      <c r="R325">
        <f>IF(Table1[[#This Row],[furnishingstatus]]="semi-furnished", 1, 0)</f>
        <v>1</v>
      </c>
      <c r="S325">
        <v>3</v>
      </c>
      <c r="T325">
        <v>1</v>
      </c>
      <c r="U325">
        <v>1</v>
      </c>
      <c r="V325">
        <f>IF(Table1[[#This Row],[mainroad]] = "yes", 1, 0)</f>
        <v>1</v>
      </c>
      <c r="W325">
        <f>IF(Table1[[#This Row],[guestroom]]= "yes", 1, 0)</f>
        <v>0</v>
      </c>
      <c r="X325">
        <f>IF(Table1[[#This Row],[basement]]="yes", 1, 0)</f>
        <v>0</v>
      </c>
      <c r="Y325">
        <f>IF(Table1[[#This Row],[hotwaterheating]]="yes", 1, 0)</f>
        <v>0</v>
      </c>
      <c r="Z325">
        <f>IF(Table1[[#This Row],[airconditioning]]="yes", 1, 0)</f>
        <v>0</v>
      </c>
      <c r="AA325">
        <v>3</v>
      </c>
      <c r="AB325">
        <f>IF(Table1[[#This Row],[prefarea]]= "yes", 1, 0)</f>
        <v>0</v>
      </c>
      <c r="AC325" s="1">
        <v>4025000</v>
      </c>
    </row>
    <row r="326" spans="1:29">
      <c r="A326">
        <v>4500</v>
      </c>
      <c r="B326" t="s">
        <v>16</v>
      </c>
      <c r="C326">
        <v>3</v>
      </c>
      <c r="D326">
        <v>1</v>
      </c>
      <c r="E326">
        <v>2</v>
      </c>
      <c r="F326" t="s">
        <v>14</v>
      </c>
      <c r="G326" t="s">
        <v>14</v>
      </c>
      <c r="H326" t="s">
        <v>13</v>
      </c>
      <c r="I326" t="s">
        <v>14</v>
      </c>
      <c r="J326" t="s">
        <v>13</v>
      </c>
      <c r="K326">
        <v>0</v>
      </c>
      <c r="L326" t="s">
        <v>14</v>
      </c>
      <c r="M326" s="1">
        <v>4007500</v>
      </c>
      <c r="P326">
        <v>4500</v>
      </c>
      <c r="Q326">
        <f>IF(Table1[[#This Row],[furnishingstatus]]="furnished", 1, 0)</f>
        <v>0</v>
      </c>
      <c r="R326">
        <f>IF(Table1[[#This Row],[furnishingstatus]]="semi-furnished", 1, 0)</f>
        <v>1</v>
      </c>
      <c r="S326">
        <v>3</v>
      </c>
      <c r="T326">
        <v>1</v>
      </c>
      <c r="U326">
        <v>2</v>
      </c>
      <c r="V326">
        <f>IF(Table1[[#This Row],[mainroad]] = "yes", 1, 0)</f>
        <v>0</v>
      </c>
      <c r="W326">
        <f>IF(Table1[[#This Row],[guestroom]]= "yes", 1, 0)</f>
        <v>0</v>
      </c>
      <c r="X326">
        <f>IF(Table1[[#This Row],[basement]]="yes", 1, 0)</f>
        <v>1</v>
      </c>
      <c r="Y326">
        <f>IF(Table1[[#This Row],[hotwaterheating]]="yes", 1, 0)</f>
        <v>0</v>
      </c>
      <c r="Z326">
        <f>IF(Table1[[#This Row],[airconditioning]]="yes", 1, 0)</f>
        <v>1</v>
      </c>
      <c r="AA326">
        <v>0</v>
      </c>
      <c r="AB326">
        <f>IF(Table1[[#This Row],[prefarea]]= "yes", 1, 0)</f>
        <v>0</v>
      </c>
      <c r="AC326" s="1">
        <v>4007500</v>
      </c>
    </row>
    <row r="327" spans="1:29">
      <c r="A327">
        <v>3460</v>
      </c>
      <c r="B327" t="s">
        <v>16</v>
      </c>
      <c r="C327">
        <v>4</v>
      </c>
      <c r="D327">
        <v>1</v>
      </c>
      <c r="E327">
        <v>2</v>
      </c>
      <c r="F327" t="s">
        <v>13</v>
      </c>
      <c r="G327" t="s">
        <v>14</v>
      </c>
      <c r="H327" t="s">
        <v>14</v>
      </c>
      <c r="I327" t="s">
        <v>14</v>
      </c>
      <c r="J327" t="s">
        <v>13</v>
      </c>
      <c r="K327">
        <v>0</v>
      </c>
      <c r="L327" t="s">
        <v>14</v>
      </c>
      <c r="M327" s="1">
        <v>4007500</v>
      </c>
      <c r="P327">
        <v>3460</v>
      </c>
      <c r="Q327">
        <f>IF(Table1[[#This Row],[furnishingstatus]]="furnished", 1, 0)</f>
        <v>0</v>
      </c>
      <c r="R327">
        <f>IF(Table1[[#This Row],[furnishingstatus]]="semi-furnished", 1, 0)</f>
        <v>1</v>
      </c>
      <c r="S327">
        <v>4</v>
      </c>
      <c r="T327">
        <v>1</v>
      </c>
      <c r="U327">
        <v>2</v>
      </c>
      <c r="V327">
        <f>IF(Table1[[#This Row],[mainroad]] = "yes", 1, 0)</f>
        <v>1</v>
      </c>
      <c r="W327">
        <f>IF(Table1[[#This Row],[guestroom]]= "yes", 1, 0)</f>
        <v>0</v>
      </c>
      <c r="X327">
        <f>IF(Table1[[#This Row],[basement]]="yes", 1, 0)</f>
        <v>0</v>
      </c>
      <c r="Y327">
        <f>IF(Table1[[#This Row],[hotwaterheating]]="yes", 1, 0)</f>
        <v>0</v>
      </c>
      <c r="Z327">
        <f>IF(Table1[[#This Row],[airconditioning]]="yes", 1, 0)</f>
        <v>1</v>
      </c>
      <c r="AA327">
        <v>0</v>
      </c>
      <c r="AB327">
        <f>IF(Table1[[#This Row],[prefarea]]= "yes", 1, 0)</f>
        <v>0</v>
      </c>
      <c r="AC327" s="1">
        <v>4007500</v>
      </c>
    </row>
    <row r="328" spans="1:29">
      <c r="A328">
        <v>4100</v>
      </c>
      <c r="B328" t="s">
        <v>17</v>
      </c>
      <c r="C328">
        <v>4</v>
      </c>
      <c r="D328">
        <v>1</v>
      </c>
      <c r="E328">
        <v>1</v>
      </c>
      <c r="F328" t="s">
        <v>14</v>
      </c>
      <c r="G328" t="s">
        <v>14</v>
      </c>
      <c r="H328" t="s">
        <v>13</v>
      </c>
      <c r="I328" t="s">
        <v>14</v>
      </c>
      <c r="J328" t="s">
        <v>14</v>
      </c>
      <c r="K328">
        <v>0</v>
      </c>
      <c r="L328" t="s">
        <v>14</v>
      </c>
      <c r="M328" s="1">
        <v>3990000</v>
      </c>
      <c r="P328">
        <v>4100</v>
      </c>
      <c r="Q328">
        <f>IF(Table1[[#This Row],[furnishingstatus]]="furnished", 1, 0)</f>
        <v>0</v>
      </c>
      <c r="R328">
        <f>IF(Table1[[#This Row],[furnishingstatus]]="semi-furnished", 1, 0)</f>
        <v>0</v>
      </c>
      <c r="S328">
        <v>4</v>
      </c>
      <c r="T328">
        <v>1</v>
      </c>
      <c r="U328">
        <v>1</v>
      </c>
      <c r="V328">
        <f>IF(Table1[[#This Row],[mainroad]] = "yes", 1, 0)</f>
        <v>0</v>
      </c>
      <c r="W328">
        <f>IF(Table1[[#This Row],[guestroom]]= "yes", 1, 0)</f>
        <v>0</v>
      </c>
      <c r="X328">
        <f>IF(Table1[[#This Row],[basement]]="yes", 1, 0)</f>
        <v>1</v>
      </c>
      <c r="Y328">
        <f>IF(Table1[[#This Row],[hotwaterheating]]="yes", 1, 0)</f>
        <v>0</v>
      </c>
      <c r="Z328">
        <f>IF(Table1[[#This Row],[airconditioning]]="yes", 1, 0)</f>
        <v>0</v>
      </c>
      <c r="AA328">
        <v>0</v>
      </c>
      <c r="AB328">
        <f>IF(Table1[[#This Row],[prefarea]]= "yes", 1, 0)</f>
        <v>0</v>
      </c>
      <c r="AC328" s="1">
        <v>3990000</v>
      </c>
    </row>
    <row r="329" spans="1:29">
      <c r="A329">
        <v>6480</v>
      </c>
      <c r="B329" t="s">
        <v>16</v>
      </c>
      <c r="C329">
        <v>3</v>
      </c>
      <c r="D329">
        <v>1</v>
      </c>
      <c r="E329">
        <v>2</v>
      </c>
      <c r="F329" t="s">
        <v>14</v>
      </c>
      <c r="G329" t="s">
        <v>14</v>
      </c>
      <c r="H329" t="s">
        <v>14</v>
      </c>
      <c r="I329" t="s">
        <v>14</v>
      </c>
      <c r="J329" t="s">
        <v>13</v>
      </c>
      <c r="K329">
        <v>1</v>
      </c>
      <c r="L329" t="s">
        <v>14</v>
      </c>
      <c r="M329" s="1">
        <v>3990000</v>
      </c>
      <c r="P329">
        <v>6480</v>
      </c>
      <c r="Q329">
        <f>IF(Table1[[#This Row],[furnishingstatus]]="furnished", 1, 0)</f>
        <v>0</v>
      </c>
      <c r="R329">
        <f>IF(Table1[[#This Row],[furnishingstatus]]="semi-furnished", 1, 0)</f>
        <v>1</v>
      </c>
      <c r="S329">
        <v>3</v>
      </c>
      <c r="T329">
        <v>1</v>
      </c>
      <c r="U329">
        <v>2</v>
      </c>
      <c r="V329">
        <f>IF(Table1[[#This Row],[mainroad]] = "yes", 1, 0)</f>
        <v>0</v>
      </c>
      <c r="W329">
        <f>IF(Table1[[#This Row],[guestroom]]= "yes", 1, 0)</f>
        <v>0</v>
      </c>
      <c r="X329">
        <f>IF(Table1[[#This Row],[basement]]="yes", 1, 0)</f>
        <v>0</v>
      </c>
      <c r="Y329">
        <f>IF(Table1[[#This Row],[hotwaterheating]]="yes", 1, 0)</f>
        <v>0</v>
      </c>
      <c r="Z329">
        <f>IF(Table1[[#This Row],[airconditioning]]="yes", 1, 0)</f>
        <v>1</v>
      </c>
      <c r="AA329">
        <v>1</v>
      </c>
      <c r="AB329">
        <f>IF(Table1[[#This Row],[prefarea]]= "yes", 1, 0)</f>
        <v>0</v>
      </c>
      <c r="AC329" s="1">
        <v>3990000</v>
      </c>
    </row>
    <row r="330" spans="1:29">
      <c r="A330">
        <v>4500</v>
      </c>
      <c r="B330" t="s">
        <v>16</v>
      </c>
      <c r="C330">
        <v>3</v>
      </c>
      <c r="D330">
        <v>2</v>
      </c>
      <c r="E330">
        <v>2</v>
      </c>
      <c r="F330" t="s">
        <v>14</v>
      </c>
      <c r="G330" t="s">
        <v>14</v>
      </c>
      <c r="H330" t="s">
        <v>13</v>
      </c>
      <c r="I330" t="s">
        <v>14</v>
      </c>
      <c r="J330" t="s">
        <v>13</v>
      </c>
      <c r="K330">
        <v>0</v>
      </c>
      <c r="L330" t="s">
        <v>14</v>
      </c>
      <c r="M330" s="1">
        <v>3990000</v>
      </c>
      <c r="P330">
        <v>4500</v>
      </c>
      <c r="Q330">
        <f>IF(Table1[[#This Row],[furnishingstatus]]="furnished", 1, 0)</f>
        <v>0</v>
      </c>
      <c r="R330">
        <f>IF(Table1[[#This Row],[furnishingstatus]]="semi-furnished", 1, 0)</f>
        <v>1</v>
      </c>
      <c r="S330">
        <v>3</v>
      </c>
      <c r="T330">
        <v>2</v>
      </c>
      <c r="U330">
        <v>2</v>
      </c>
      <c r="V330">
        <f>IF(Table1[[#This Row],[mainroad]] = "yes", 1, 0)</f>
        <v>0</v>
      </c>
      <c r="W330">
        <f>IF(Table1[[#This Row],[guestroom]]= "yes", 1, 0)</f>
        <v>0</v>
      </c>
      <c r="X330">
        <f>IF(Table1[[#This Row],[basement]]="yes", 1, 0)</f>
        <v>1</v>
      </c>
      <c r="Y330">
        <f>IF(Table1[[#This Row],[hotwaterheating]]="yes", 1, 0)</f>
        <v>0</v>
      </c>
      <c r="Z330">
        <f>IF(Table1[[#This Row],[airconditioning]]="yes", 1, 0)</f>
        <v>1</v>
      </c>
      <c r="AA330">
        <v>0</v>
      </c>
      <c r="AB330">
        <f>IF(Table1[[#This Row],[prefarea]]= "yes", 1, 0)</f>
        <v>0</v>
      </c>
      <c r="AC330" s="1">
        <v>3990000</v>
      </c>
    </row>
    <row r="331" spans="1:29">
      <c r="A331">
        <v>3960</v>
      </c>
      <c r="B331" t="s">
        <v>15</v>
      </c>
      <c r="C331">
        <v>3</v>
      </c>
      <c r="D331">
        <v>1</v>
      </c>
      <c r="E331">
        <v>2</v>
      </c>
      <c r="F331" t="s">
        <v>13</v>
      </c>
      <c r="G331" t="s">
        <v>14</v>
      </c>
      <c r="H331" t="s">
        <v>14</v>
      </c>
      <c r="I331" t="s">
        <v>14</v>
      </c>
      <c r="J331" t="s">
        <v>14</v>
      </c>
      <c r="K331">
        <v>0</v>
      </c>
      <c r="L331" t="s">
        <v>14</v>
      </c>
      <c r="M331" s="1">
        <v>3990000</v>
      </c>
      <c r="P331">
        <v>3960</v>
      </c>
      <c r="Q331">
        <f>IF(Table1[[#This Row],[furnishingstatus]]="furnished", 1, 0)</f>
        <v>1</v>
      </c>
      <c r="R331">
        <f>IF(Table1[[#This Row],[furnishingstatus]]="semi-furnished", 1, 0)</f>
        <v>0</v>
      </c>
      <c r="S331">
        <v>3</v>
      </c>
      <c r="T331">
        <v>1</v>
      </c>
      <c r="U331">
        <v>2</v>
      </c>
      <c r="V331">
        <f>IF(Table1[[#This Row],[mainroad]] = "yes", 1, 0)</f>
        <v>1</v>
      </c>
      <c r="W331">
        <f>IF(Table1[[#This Row],[guestroom]]= "yes", 1, 0)</f>
        <v>0</v>
      </c>
      <c r="X331">
        <f>IF(Table1[[#This Row],[basement]]="yes", 1, 0)</f>
        <v>0</v>
      </c>
      <c r="Y331">
        <f>IF(Table1[[#This Row],[hotwaterheating]]="yes", 1, 0)</f>
        <v>0</v>
      </c>
      <c r="Z331">
        <f>IF(Table1[[#This Row],[airconditioning]]="yes", 1, 0)</f>
        <v>0</v>
      </c>
      <c r="AA331">
        <v>0</v>
      </c>
      <c r="AB331">
        <f>IF(Table1[[#This Row],[prefarea]]= "yes", 1, 0)</f>
        <v>0</v>
      </c>
      <c r="AC331" s="1">
        <v>3990000</v>
      </c>
    </row>
    <row r="332" spans="1:29">
      <c r="A332">
        <v>4050</v>
      </c>
      <c r="B332" t="s">
        <v>17</v>
      </c>
      <c r="C332">
        <v>2</v>
      </c>
      <c r="D332">
        <v>1</v>
      </c>
      <c r="E332">
        <v>2</v>
      </c>
      <c r="F332" t="s">
        <v>13</v>
      </c>
      <c r="G332" t="s">
        <v>13</v>
      </c>
      <c r="H332" t="s">
        <v>13</v>
      </c>
      <c r="I332" t="s">
        <v>14</v>
      </c>
      <c r="J332" t="s">
        <v>14</v>
      </c>
      <c r="K332">
        <v>0</v>
      </c>
      <c r="L332" t="s">
        <v>13</v>
      </c>
      <c r="M332" s="1">
        <v>3990000</v>
      </c>
      <c r="P332">
        <v>4050</v>
      </c>
      <c r="Q332">
        <f>IF(Table1[[#This Row],[furnishingstatus]]="furnished", 1, 0)</f>
        <v>0</v>
      </c>
      <c r="R332">
        <f>IF(Table1[[#This Row],[furnishingstatus]]="semi-furnished", 1, 0)</f>
        <v>0</v>
      </c>
      <c r="S332">
        <v>2</v>
      </c>
      <c r="T332">
        <v>1</v>
      </c>
      <c r="U332">
        <v>2</v>
      </c>
      <c r="V332">
        <f>IF(Table1[[#This Row],[mainroad]] = "yes", 1, 0)</f>
        <v>1</v>
      </c>
      <c r="W332">
        <f>IF(Table1[[#This Row],[guestroom]]= "yes", 1, 0)</f>
        <v>1</v>
      </c>
      <c r="X332">
        <f>IF(Table1[[#This Row],[basement]]="yes", 1, 0)</f>
        <v>1</v>
      </c>
      <c r="Y332">
        <f>IF(Table1[[#This Row],[hotwaterheating]]="yes", 1, 0)</f>
        <v>0</v>
      </c>
      <c r="Z332">
        <f>IF(Table1[[#This Row],[airconditioning]]="yes", 1, 0)</f>
        <v>0</v>
      </c>
      <c r="AA332">
        <v>0</v>
      </c>
      <c r="AB332">
        <f>IF(Table1[[#This Row],[prefarea]]= "yes", 1, 0)</f>
        <v>1</v>
      </c>
      <c r="AC332" s="1">
        <v>3990000</v>
      </c>
    </row>
    <row r="333" spans="1:29">
      <c r="A333">
        <v>7260</v>
      </c>
      <c r="B333" t="s">
        <v>15</v>
      </c>
      <c r="C333">
        <v>3</v>
      </c>
      <c r="D333">
        <v>2</v>
      </c>
      <c r="E333">
        <v>1</v>
      </c>
      <c r="F333" t="s">
        <v>13</v>
      </c>
      <c r="G333" t="s">
        <v>13</v>
      </c>
      <c r="H333" t="s">
        <v>13</v>
      </c>
      <c r="I333" t="s">
        <v>14</v>
      </c>
      <c r="J333" t="s">
        <v>14</v>
      </c>
      <c r="K333">
        <v>3</v>
      </c>
      <c r="L333" t="s">
        <v>14</v>
      </c>
      <c r="M333" s="1">
        <v>3920000</v>
      </c>
      <c r="P333">
        <v>7260</v>
      </c>
      <c r="Q333">
        <f>IF(Table1[[#This Row],[furnishingstatus]]="furnished", 1, 0)</f>
        <v>1</v>
      </c>
      <c r="R333">
        <f>IF(Table1[[#This Row],[furnishingstatus]]="semi-furnished", 1, 0)</f>
        <v>0</v>
      </c>
      <c r="S333">
        <v>3</v>
      </c>
      <c r="T333">
        <v>2</v>
      </c>
      <c r="U333">
        <v>1</v>
      </c>
      <c r="V333">
        <f>IF(Table1[[#This Row],[mainroad]] = "yes", 1, 0)</f>
        <v>1</v>
      </c>
      <c r="W333">
        <f>IF(Table1[[#This Row],[guestroom]]= "yes", 1, 0)</f>
        <v>1</v>
      </c>
      <c r="X333">
        <f>IF(Table1[[#This Row],[basement]]="yes", 1, 0)</f>
        <v>1</v>
      </c>
      <c r="Y333">
        <f>IF(Table1[[#This Row],[hotwaterheating]]="yes", 1, 0)</f>
        <v>0</v>
      </c>
      <c r="Z333">
        <f>IF(Table1[[#This Row],[airconditioning]]="yes", 1, 0)</f>
        <v>0</v>
      </c>
      <c r="AA333">
        <v>3</v>
      </c>
      <c r="AB333">
        <f>IF(Table1[[#This Row],[prefarea]]= "yes", 1, 0)</f>
        <v>0</v>
      </c>
      <c r="AC333" s="1">
        <v>3920000</v>
      </c>
    </row>
    <row r="334" spans="1:29">
      <c r="A334">
        <v>5500</v>
      </c>
      <c r="B334" t="s">
        <v>16</v>
      </c>
      <c r="C334">
        <v>4</v>
      </c>
      <c r="D334">
        <v>1</v>
      </c>
      <c r="E334">
        <v>2</v>
      </c>
      <c r="F334" t="s">
        <v>13</v>
      </c>
      <c r="G334" t="s">
        <v>13</v>
      </c>
      <c r="H334" t="s">
        <v>13</v>
      </c>
      <c r="I334" t="s">
        <v>14</v>
      </c>
      <c r="J334" t="s">
        <v>14</v>
      </c>
      <c r="K334">
        <v>0</v>
      </c>
      <c r="L334" t="s">
        <v>14</v>
      </c>
      <c r="M334" s="1">
        <v>3920000</v>
      </c>
      <c r="P334">
        <v>5500</v>
      </c>
      <c r="Q334">
        <f>IF(Table1[[#This Row],[furnishingstatus]]="furnished", 1, 0)</f>
        <v>0</v>
      </c>
      <c r="R334">
        <f>IF(Table1[[#This Row],[furnishingstatus]]="semi-furnished", 1, 0)</f>
        <v>1</v>
      </c>
      <c r="S334">
        <v>4</v>
      </c>
      <c r="T334">
        <v>1</v>
      </c>
      <c r="U334">
        <v>2</v>
      </c>
      <c r="V334">
        <f>IF(Table1[[#This Row],[mainroad]] = "yes", 1, 0)</f>
        <v>1</v>
      </c>
      <c r="W334">
        <f>IF(Table1[[#This Row],[guestroom]]= "yes", 1, 0)</f>
        <v>1</v>
      </c>
      <c r="X334">
        <f>IF(Table1[[#This Row],[basement]]="yes", 1, 0)</f>
        <v>1</v>
      </c>
      <c r="Y334">
        <f>IF(Table1[[#This Row],[hotwaterheating]]="yes", 1, 0)</f>
        <v>0</v>
      </c>
      <c r="Z334">
        <f>IF(Table1[[#This Row],[airconditioning]]="yes", 1, 0)</f>
        <v>0</v>
      </c>
      <c r="AA334">
        <v>0</v>
      </c>
      <c r="AB334">
        <f>IF(Table1[[#This Row],[prefarea]]= "yes", 1, 0)</f>
        <v>0</v>
      </c>
      <c r="AC334" s="1">
        <v>3920000</v>
      </c>
    </row>
    <row r="335" spans="1:29">
      <c r="A335">
        <v>3000</v>
      </c>
      <c r="B335" t="s">
        <v>16</v>
      </c>
      <c r="C335">
        <v>3</v>
      </c>
      <c r="D335">
        <v>1</v>
      </c>
      <c r="E335">
        <v>2</v>
      </c>
      <c r="F335" t="s">
        <v>13</v>
      </c>
      <c r="G335" t="s">
        <v>14</v>
      </c>
      <c r="H335" t="s">
        <v>14</v>
      </c>
      <c r="I335" t="s">
        <v>14</v>
      </c>
      <c r="J335" t="s">
        <v>14</v>
      </c>
      <c r="K335">
        <v>0</v>
      </c>
      <c r="L335" t="s">
        <v>14</v>
      </c>
      <c r="M335" s="1">
        <v>3920000</v>
      </c>
      <c r="P335">
        <v>3000</v>
      </c>
      <c r="Q335">
        <f>IF(Table1[[#This Row],[furnishingstatus]]="furnished", 1, 0)</f>
        <v>0</v>
      </c>
      <c r="R335">
        <f>IF(Table1[[#This Row],[furnishingstatus]]="semi-furnished", 1, 0)</f>
        <v>1</v>
      </c>
      <c r="S335">
        <v>3</v>
      </c>
      <c r="T335">
        <v>1</v>
      </c>
      <c r="U335">
        <v>2</v>
      </c>
      <c r="V335">
        <f>IF(Table1[[#This Row],[mainroad]] = "yes", 1, 0)</f>
        <v>1</v>
      </c>
      <c r="W335">
        <f>IF(Table1[[#This Row],[guestroom]]= "yes", 1, 0)</f>
        <v>0</v>
      </c>
      <c r="X335">
        <f>IF(Table1[[#This Row],[basement]]="yes", 1, 0)</f>
        <v>0</v>
      </c>
      <c r="Y335">
        <f>IF(Table1[[#This Row],[hotwaterheating]]="yes", 1, 0)</f>
        <v>0</v>
      </c>
      <c r="Z335">
        <f>IF(Table1[[#This Row],[airconditioning]]="yes", 1, 0)</f>
        <v>0</v>
      </c>
      <c r="AA335">
        <v>0</v>
      </c>
      <c r="AB335">
        <f>IF(Table1[[#This Row],[prefarea]]= "yes", 1, 0)</f>
        <v>0</v>
      </c>
      <c r="AC335" s="1">
        <v>3920000</v>
      </c>
    </row>
    <row r="336" spans="1:29">
      <c r="A336">
        <v>3290</v>
      </c>
      <c r="B336" t="s">
        <v>15</v>
      </c>
      <c r="C336">
        <v>2</v>
      </c>
      <c r="D336">
        <v>1</v>
      </c>
      <c r="E336">
        <v>1</v>
      </c>
      <c r="F336" t="s">
        <v>13</v>
      </c>
      <c r="G336" t="s">
        <v>14</v>
      </c>
      <c r="H336" t="s">
        <v>14</v>
      </c>
      <c r="I336" t="s">
        <v>13</v>
      </c>
      <c r="J336" t="s">
        <v>14</v>
      </c>
      <c r="K336">
        <v>1</v>
      </c>
      <c r="L336" t="s">
        <v>14</v>
      </c>
      <c r="M336" s="1">
        <v>3920000</v>
      </c>
      <c r="P336">
        <v>3290</v>
      </c>
      <c r="Q336">
        <f>IF(Table1[[#This Row],[furnishingstatus]]="furnished", 1, 0)</f>
        <v>1</v>
      </c>
      <c r="R336">
        <f>IF(Table1[[#This Row],[furnishingstatus]]="semi-furnished", 1, 0)</f>
        <v>0</v>
      </c>
      <c r="S336">
        <v>2</v>
      </c>
      <c r="T336">
        <v>1</v>
      </c>
      <c r="U336">
        <v>1</v>
      </c>
      <c r="V336">
        <f>IF(Table1[[#This Row],[mainroad]] = "yes", 1, 0)</f>
        <v>1</v>
      </c>
      <c r="W336">
        <f>IF(Table1[[#This Row],[guestroom]]= "yes", 1, 0)</f>
        <v>0</v>
      </c>
      <c r="X336">
        <f>IF(Table1[[#This Row],[basement]]="yes", 1, 0)</f>
        <v>0</v>
      </c>
      <c r="Y336">
        <f>IF(Table1[[#This Row],[hotwaterheating]]="yes", 1, 0)</f>
        <v>1</v>
      </c>
      <c r="Z336">
        <f>IF(Table1[[#This Row],[airconditioning]]="yes", 1, 0)</f>
        <v>0</v>
      </c>
      <c r="AA336">
        <v>1</v>
      </c>
      <c r="AB336">
        <f>IF(Table1[[#This Row],[prefarea]]= "yes", 1, 0)</f>
        <v>0</v>
      </c>
      <c r="AC336" s="1">
        <v>3920000</v>
      </c>
    </row>
    <row r="337" spans="1:29">
      <c r="A337">
        <v>3816</v>
      </c>
      <c r="B337" t="s">
        <v>15</v>
      </c>
      <c r="C337">
        <v>2</v>
      </c>
      <c r="D337">
        <v>1</v>
      </c>
      <c r="E337">
        <v>1</v>
      </c>
      <c r="F337" t="s">
        <v>13</v>
      </c>
      <c r="G337" t="s">
        <v>14</v>
      </c>
      <c r="H337" t="s">
        <v>13</v>
      </c>
      <c r="I337" t="s">
        <v>14</v>
      </c>
      <c r="J337" t="s">
        <v>13</v>
      </c>
      <c r="K337">
        <v>2</v>
      </c>
      <c r="L337" t="s">
        <v>14</v>
      </c>
      <c r="M337" s="1">
        <v>3920000</v>
      </c>
      <c r="P337">
        <v>3816</v>
      </c>
      <c r="Q337">
        <f>IF(Table1[[#This Row],[furnishingstatus]]="furnished", 1, 0)</f>
        <v>1</v>
      </c>
      <c r="R337">
        <f>IF(Table1[[#This Row],[furnishingstatus]]="semi-furnished", 1, 0)</f>
        <v>0</v>
      </c>
      <c r="S337">
        <v>2</v>
      </c>
      <c r="T337">
        <v>1</v>
      </c>
      <c r="U337">
        <v>1</v>
      </c>
      <c r="V337">
        <f>IF(Table1[[#This Row],[mainroad]] = "yes", 1, 0)</f>
        <v>1</v>
      </c>
      <c r="W337">
        <f>IF(Table1[[#This Row],[guestroom]]= "yes", 1, 0)</f>
        <v>0</v>
      </c>
      <c r="X337">
        <f>IF(Table1[[#This Row],[basement]]="yes", 1, 0)</f>
        <v>1</v>
      </c>
      <c r="Y337">
        <f>IF(Table1[[#This Row],[hotwaterheating]]="yes", 1, 0)</f>
        <v>0</v>
      </c>
      <c r="Z337">
        <f>IF(Table1[[#This Row],[airconditioning]]="yes", 1, 0)</f>
        <v>1</v>
      </c>
      <c r="AA337">
        <v>2</v>
      </c>
      <c r="AB337">
        <f>IF(Table1[[#This Row],[prefarea]]= "yes", 1, 0)</f>
        <v>0</v>
      </c>
      <c r="AC337" s="1">
        <v>3920000</v>
      </c>
    </row>
    <row r="338" spans="1:29">
      <c r="A338">
        <v>8080</v>
      </c>
      <c r="B338" t="s">
        <v>16</v>
      </c>
      <c r="C338">
        <v>3</v>
      </c>
      <c r="D338">
        <v>1</v>
      </c>
      <c r="E338">
        <v>1</v>
      </c>
      <c r="F338" t="s">
        <v>13</v>
      </c>
      <c r="G338" t="s">
        <v>14</v>
      </c>
      <c r="H338" t="s">
        <v>14</v>
      </c>
      <c r="I338" t="s">
        <v>14</v>
      </c>
      <c r="J338" t="s">
        <v>13</v>
      </c>
      <c r="K338">
        <v>2</v>
      </c>
      <c r="L338" t="s">
        <v>14</v>
      </c>
      <c r="M338" s="1">
        <v>3920000</v>
      </c>
      <c r="P338">
        <v>8080</v>
      </c>
      <c r="Q338">
        <f>IF(Table1[[#This Row],[furnishingstatus]]="furnished", 1, 0)</f>
        <v>0</v>
      </c>
      <c r="R338">
        <f>IF(Table1[[#This Row],[furnishingstatus]]="semi-furnished", 1, 0)</f>
        <v>1</v>
      </c>
      <c r="S338">
        <v>3</v>
      </c>
      <c r="T338">
        <v>1</v>
      </c>
      <c r="U338">
        <v>1</v>
      </c>
      <c r="V338">
        <f>IF(Table1[[#This Row],[mainroad]] = "yes", 1, 0)</f>
        <v>1</v>
      </c>
      <c r="W338">
        <f>IF(Table1[[#This Row],[guestroom]]= "yes", 1, 0)</f>
        <v>0</v>
      </c>
      <c r="X338">
        <f>IF(Table1[[#This Row],[basement]]="yes", 1, 0)</f>
        <v>0</v>
      </c>
      <c r="Y338">
        <f>IF(Table1[[#This Row],[hotwaterheating]]="yes", 1, 0)</f>
        <v>0</v>
      </c>
      <c r="Z338">
        <f>IF(Table1[[#This Row],[airconditioning]]="yes", 1, 0)</f>
        <v>1</v>
      </c>
      <c r="AA338">
        <v>2</v>
      </c>
      <c r="AB338">
        <f>IF(Table1[[#This Row],[prefarea]]= "yes", 1, 0)</f>
        <v>0</v>
      </c>
      <c r="AC338" s="1">
        <v>3920000</v>
      </c>
    </row>
    <row r="339" spans="1:29">
      <c r="A339">
        <v>2145</v>
      </c>
      <c r="B339" t="s">
        <v>17</v>
      </c>
      <c r="C339">
        <v>4</v>
      </c>
      <c r="D339">
        <v>2</v>
      </c>
      <c r="E339">
        <v>1</v>
      </c>
      <c r="F339" t="s">
        <v>13</v>
      </c>
      <c r="G339" t="s">
        <v>14</v>
      </c>
      <c r="H339" t="s">
        <v>13</v>
      </c>
      <c r="I339" t="s">
        <v>14</v>
      </c>
      <c r="J339" t="s">
        <v>14</v>
      </c>
      <c r="K339">
        <v>0</v>
      </c>
      <c r="L339" t="s">
        <v>13</v>
      </c>
      <c r="M339" s="1">
        <v>3920000</v>
      </c>
      <c r="P339">
        <v>2145</v>
      </c>
      <c r="Q339">
        <f>IF(Table1[[#This Row],[furnishingstatus]]="furnished", 1, 0)</f>
        <v>0</v>
      </c>
      <c r="R339">
        <f>IF(Table1[[#This Row],[furnishingstatus]]="semi-furnished", 1, 0)</f>
        <v>0</v>
      </c>
      <c r="S339">
        <v>4</v>
      </c>
      <c r="T339">
        <v>2</v>
      </c>
      <c r="U339">
        <v>1</v>
      </c>
      <c r="V339">
        <f>IF(Table1[[#This Row],[mainroad]] = "yes", 1, 0)</f>
        <v>1</v>
      </c>
      <c r="W339">
        <f>IF(Table1[[#This Row],[guestroom]]= "yes", 1, 0)</f>
        <v>0</v>
      </c>
      <c r="X339">
        <f>IF(Table1[[#This Row],[basement]]="yes", 1, 0)</f>
        <v>1</v>
      </c>
      <c r="Y339">
        <f>IF(Table1[[#This Row],[hotwaterheating]]="yes", 1, 0)</f>
        <v>0</v>
      </c>
      <c r="Z339">
        <f>IF(Table1[[#This Row],[airconditioning]]="yes", 1, 0)</f>
        <v>0</v>
      </c>
      <c r="AA339">
        <v>0</v>
      </c>
      <c r="AB339">
        <f>IF(Table1[[#This Row],[prefarea]]= "yes", 1, 0)</f>
        <v>1</v>
      </c>
      <c r="AC339" s="1">
        <v>3920000</v>
      </c>
    </row>
    <row r="340" spans="1:29">
      <c r="A340">
        <v>3780</v>
      </c>
      <c r="B340" t="s">
        <v>16</v>
      </c>
      <c r="C340">
        <v>2</v>
      </c>
      <c r="D340">
        <v>1</v>
      </c>
      <c r="E340">
        <v>2</v>
      </c>
      <c r="F340" t="s">
        <v>13</v>
      </c>
      <c r="G340" t="s">
        <v>13</v>
      </c>
      <c r="H340" t="s">
        <v>13</v>
      </c>
      <c r="I340" t="s">
        <v>14</v>
      </c>
      <c r="J340" t="s">
        <v>14</v>
      </c>
      <c r="K340">
        <v>0</v>
      </c>
      <c r="L340" t="s">
        <v>14</v>
      </c>
      <c r="M340" s="1">
        <v>3885000</v>
      </c>
      <c r="P340">
        <v>3780</v>
      </c>
      <c r="Q340">
        <f>IF(Table1[[#This Row],[furnishingstatus]]="furnished", 1, 0)</f>
        <v>0</v>
      </c>
      <c r="R340">
        <f>IF(Table1[[#This Row],[furnishingstatus]]="semi-furnished", 1, 0)</f>
        <v>1</v>
      </c>
      <c r="S340">
        <v>2</v>
      </c>
      <c r="T340">
        <v>1</v>
      </c>
      <c r="U340">
        <v>2</v>
      </c>
      <c r="V340">
        <f>IF(Table1[[#This Row],[mainroad]] = "yes", 1, 0)</f>
        <v>1</v>
      </c>
      <c r="W340">
        <f>IF(Table1[[#This Row],[guestroom]]= "yes", 1, 0)</f>
        <v>1</v>
      </c>
      <c r="X340">
        <f>IF(Table1[[#This Row],[basement]]="yes", 1, 0)</f>
        <v>1</v>
      </c>
      <c r="Y340">
        <f>IF(Table1[[#This Row],[hotwaterheating]]="yes", 1, 0)</f>
        <v>0</v>
      </c>
      <c r="Z340">
        <f>IF(Table1[[#This Row],[airconditioning]]="yes", 1, 0)</f>
        <v>0</v>
      </c>
      <c r="AA340">
        <v>0</v>
      </c>
      <c r="AB340">
        <f>IF(Table1[[#This Row],[prefarea]]= "yes", 1, 0)</f>
        <v>0</v>
      </c>
      <c r="AC340" s="1">
        <v>3885000</v>
      </c>
    </row>
    <row r="341" spans="1:29">
      <c r="A341">
        <v>3180</v>
      </c>
      <c r="B341" t="s">
        <v>15</v>
      </c>
      <c r="C341">
        <v>4</v>
      </c>
      <c r="D341">
        <v>2</v>
      </c>
      <c r="E341">
        <v>2</v>
      </c>
      <c r="F341" t="s">
        <v>13</v>
      </c>
      <c r="G341" t="s">
        <v>14</v>
      </c>
      <c r="H341" t="s">
        <v>14</v>
      </c>
      <c r="I341" t="s">
        <v>14</v>
      </c>
      <c r="J341" t="s">
        <v>14</v>
      </c>
      <c r="K341">
        <v>0</v>
      </c>
      <c r="L341" t="s">
        <v>14</v>
      </c>
      <c r="M341" s="1">
        <v>3885000</v>
      </c>
      <c r="P341">
        <v>3180</v>
      </c>
      <c r="Q341">
        <f>IF(Table1[[#This Row],[furnishingstatus]]="furnished", 1, 0)</f>
        <v>1</v>
      </c>
      <c r="R341">
        <f>IF(Table1[[#This Row],[furnishingstatus]]="semi-furnished", 1, 0)</f>
        <v>0</v>
      </c>
      <c r="S341">
        <v>4</v>
      </c>
      <c r="T341">
        <v>2</v>
      </c>
      <c r="U341">
        <v>2</v>
      </c>
      <c r="V341">
        <f>IF(Table1[[#This Row],[mainroad]] = "yes", 1, 0)</f>
        <v>1</v>
      </c>
      <c r="W341">
        <f>IF(Table1[[#This Row],[guestroom]]= "yes", 1, 0)</f>
        <v>0</v>
      </c>
      <c r="X341">
        <f>IF(Table1[[#This Row],[basement]]="yes", 1, 0)</f>
        <v>0</v>
      </c>
      <c r="Y341">
        <f>IF(Table1[[#This Row],[hotwaterheating]]="yes", 1, 0)</f>
        <v>0</v>
      </c>
      <c r="Z341">
        <f>IF(Table1[[#This Row],[airconditioning]]="yes", 1, 0)</f>
        <v>0</v>
      </c>
      <c r="AA341">
        <v>0</v>
      </c>
      <c r="AB341">
        <f>IF(Table1[[#This Row],[prefarea]]= "yes", 1, 0)</f>
        <v>0</v>
      </c>
      <c r="AC341" s="1">
        <v>3885000</v>
      </c>
    </row>
    <row r="342" spans="1:29">
      <c r="A342">
        <v>5300</v>
      </c>
      <c r="B342" t="s">
        <v>16</v>
      </c>
      <c r="C342">
        <v>5</v>
      </c>
      <c r="D342">
        <v>2</v>
      </c>
      <c r="E342">
        <v>2</v>
      </c>
      <c r="F342" t="s">
        <v>13</v>
      </c>
      <c r="G342" t="s">
        <v>14</v>
      </c>
      <c r="H342" t="s">
        <v>14</v>
      </c>
      <c r="I342" t="s">
        <v>14</v>
      </c>
      <c r="J342" t="s">
        <v>14</v>
      </c>
      <c r="K342">
        <v>0</v>
      </c>
      <c r="L342" t="s">
        <v>14</v>
      </c>
      <c r="M342" s="1">
        <v>3850000</v>
      </c>
      <c r="P342">
        <v>5300</v>
      </c>
      <c r="Q342">
        <f>IF(Table1[[#This Row],[furnishingstatus]]="furnished", 1, 0)</f>
        <v>0</v>
      </c>
      <c r="R342">
        <f>IF(Table1[[#This Row],[furnishingstatus]]="semi-furnished", 1, 0)</f>
        <v>1</v>
      </c>
      <c r="S342">
        <v>5</v>
      </c>
      <c r="T342">
        <v>2</v>
      </c>
      <c r="U342">
        <v>2</v>
      </c>
      <c r="V342">
        <f>IF(Table1[[#This Row],[mainroad]] = "yes", 1, 0)</f>
        <v>1</v>
      </c>
      <c r="W342">
        <f>IF(Table1[[#This Row],[guestroom]]= "yes", 1, 0)</f>
        <v>0</v>
      </c>
      <c r="X342">
        <f>IF(Table1[[#This Row],[basement]]="yes", 1, 0)</f>
        <v>0</v>
      </c>
      <c r="Y342">
        <f>IF(Table1[[#This Row],[hotwaterheating]]="yes", 1, 0)</f>
        <v>0</v>
      </c>
      <c r="Z342">
        <f>IF(Table1[[#This Row],[airconditioning]]="yes", 1, 0)</f>
        <v>0</v>
      </c>
      <c r="AA342">
        <v>0</v>
      </c>
      <c r="AB342">
        <f>IF(Table1[[#This Row],[prefarea]]= "yes", 1, 0)</f>
        <v>0</v>
      </c>
      <c r="AC342" s="1">
        <v>3850000</v>
      </c>
    </row>
    <row r="343" spans="1:29">
      <c r="A343">
        <v>3180</v>
      </c>
      <c r="B343" t="s">
        <v>16</v>
      </c>
      <c r="C343">
        <v>2</v>
      </c>
      <c r="D343">
        <v>2</v>
      </c>
      <c r="E343">
        <v>1</v>
      </c>
      <c r="F343" t="s">
        <v>13</v>
      </c>
      <c r="G343" t="s">
        <v>14</v>
      </c>
      <c r="H343" t="s">
        <v>13</v>
      </c>
      <c r="I343" t="s">
        <v>14</v>
      </c>
      <c r="J343" t="s">
        <v>14</v>
      </c>
      <c r="K343">
        <v>2</v>
      </c>
      <c r="L343" t="s">
        <v>14</v>
      </c>
      <c r="M343" s="1">
        <v>3850000</v>
      </c>
      <c r="P343">
        <v>3180</v>
      </c>
      <c r="Q343">
        <f>IF(Table1[[#This Row],[furnishingstatus]]="furnished", 1, 0)</f>
        <v>0</v>
      </c>
      <c r="R343">
        <f>IF(Table1[[#This Row],[furnishingstatus]]="semi-furnished", 1, 0)</f>
        <v>1</v>
      </c>
      <c r="S343">
        <v>2</v>
      </c>
      <c r="T343">
        <v>2</v>
      </c>
      <c r="U343">
        <v>1</v>
      </c>
      <c r="V343">
        <f>IF(Table1[[#This Row],[mainroad]] = "yes", 1, 0)</f>
        <v>1</v>
      </c>
      <c r="W343">
        <f>IF(Table1[[#This Row],[guestroom]]= "yes", 1, 0)</f>
        <v>0</v>
      </c>
      <c r="X343">
        <f>IF(Table1[[#This Row],[basement]]="yes", 1, 0)</f>
        <v>1</v>
      </c>
      <c r="Y343">
        <f>IF(Table1[[#This Row],[hotwaterheating]]="yes", 1, 0)</f>
        <v>0</v>
      </c>
      <c r="Z343">
        <f>IF(Table1[[#This Row],[airconditioning]]="yes", 1, 0)</f>
        <v>0</v>
      </c>
      <c r="AA343">
        <v>2</v>
      </c>
      <c r="AB343">
        <f>IF(Table1[[#This Row],[prefarea]]= "yes", 1, 0)</f>
        <v>0</v>
      </c>
      <c r="AC343" s="1">
        <v>3850000</v>
      </c>
    </row>
    <row r="344" spans="1:29">
      <c r="A344">
        <v>7152</v>
      </c>
      <c r="B344" t="s">
        <v>15</v>
      </c>
      <c r="C344">
        <v>3</v>
      </c>
      <c r="D344">
        <v>1</v>
      </c>
      <c r="E344">
        <v>2</v>
      </c>
      <c r="F344" t="s">
        <v>13</v>
      </c>
      <c r="G344" t="s">
        <v>14</v>
      </c>
      <c r="H344" t="s">
        <v>14</v>
      </c>
      <c r="I344" t="s">
        <v>14</v>
      </c>
      <c r="J344" t="s">
        <v>13</v>
      </c>
      <c r="K344">
        <v>0</v>
      </c>
      <c r="L344" t="s">
        <v>14</v>
      </c>
      <c r="M344" s="1">
        <v>3850000</v>
      </c>
      <c r="P344">
        <v>7152</v>
      </c>
      <c r="Q344">
        <f>IF(Table1[[#This Row],[furnishingstatus]]="furnished", 1, 0)</f>
        <v>1</v>
      </c>
      <c r="R344">
        <f>IF(Table1[[#This Row],[furnishingstatus]]="semi-furnished", 1, 0)</f>
        <v>0</v>
      </c>
      <c r="S344">
        <v>3</v>
      </c>
      <c r="T344">
        <v>1</v>
      </c>
      <c r="U344">
        <v>2</v>
      </c>
      <c r="V344">
        <f>IF(Table1[[#This Row],[mainroad]] = "yes", 1, 0)</f>
        <v>1</v>
      </c>
      <c r="W344">
        <f>IF(Table1[[#This Row],[guestroom]]= "yes", 1, 0)</f>
        <v>0</v>
      </c>
      <c r="X344">
        <f>IF(Table1[[#This Row],[basement]]="yes", 1, 0)</f>
        <v>0</v>
      </c>
      <c r="Y344">
        <f>IF(Table1[[#This Row],[hotwaterheating]]="yes", 1, 0)</f>
        <v>0</v>
      </c>
      <c r="Z344">
        <f>IF(Table1[[#This Row],[airconditioning]]="yes", 1, 0)</f>
        <v>1</v>
      </c>
      <c r="AA344">
        <v>0</v>
      </c>
      <c r="AB344">
        <f>IF(Table1[[#This Row],[prefarea]]= "yes", 1, 0)</f>
        <v>0</v>
      </c>
      <c r="AC344" s="1">
        <v>3850000</v>
      </c>
    </row>
    <row r="345" spans="1:29">
      <c r="A345">
        <v>4080</v>
      </c>
      <c r="B345" t="s">
        <v>16</v>
      </c>
      <c r="C345">
        <v>2</v>
      </c>
      <c r="D345">
        <v>1</v>
      </c>
      <c r="E345">
        <v>1</v>
      </c>
      <c r="F345" t="s">
        <v>13</v>
      </c>
      <c r="G345" t="s">
        <v>14</v>
      </c>
      <c r="H345" t="s">
        <v>14</v>
      </c>
      <c r="I345" t="s">
        <v>14</v>
      </c>
      <c r="J345" t="s">
        <v>14</v>
      </c>
      <c r="K345">
        <v>0</v>
      </c>
      <c r="L345" t="s">
        <v>14</v>
      </c>
      <c r="M345" s="1">
        <v>3850000</v>
      </c>
      <c r="P345">
        <v>4080</v>
      </c>
      <c r="Q345">
        <f>IF(Table1[[#This Row],[furnishingstatus]]="furnished", 1, 0)</f>
        <v>0</v>
      </c>
      <c r="R345">
        <f>IF(Table1[[#This Row],[furnishingstatus]]="semi-furnished", 1, 0)</f>
        <v>1</v>
      </c>
      <c r="S345">
        <v>2</v>
      </c>
      <c r="T345">
        <v>1</v>
      </c>
      <c r="U345">
        <v>1</v>
      </c>
      <c r="V345">
        <f>IF(Table1[[#This Row],[mainroad]] = "yes", 1, 0)</f>
        <v>1</v>
      </c>
      <c r="W345">
        <f>IF(Table1[[#This Row],[guestroom]]= "yes", 1, 0)</f>
        <v>0</v>
      </c>
      <c r="X345">
        <f>IF(Table1[[#This Row],[basement]]="yes", 1, 0)</f>
        <v>0</v>
      </c>
      <c r="Y345">
        <f>IF(Table1[[#This Row],[hotwaterheating]]="yes", 1, 0)</f>
        <v>0</v>
      </c>
      <c r="Z345">
        <f>IF(Table1[[#This Row],[airconditioning]]="yes", 1, 0)</f>
        <v>0</v>
      </c>
      <c r="AA345">
        <v>0</v>
      </c>
      <c r="AB345">
        <f>IF(Table1[[#This Row],[prefarea]]= "yes", 1, 0)</f>
        <v>0</v>
      </c>
      <c r="AC345" s="1">
        <v>3850000</v>
      </c>
    </row>
    <row r="346" spans="1:29">
      <c r="A346">
        <v>3850</v>
      </c>
      <c r="B346" t="s">
        <v>16</v>
      </c>
      <c r="C346">
        <v>2</v>
      </c>
      <c r="D346">
        <v>1</v>
      </c>
      <c r="E346">
        <v>1</v>
      </c>
      <c r="F346" t="s">
        <v>13</v>
      </c>
      <c r="G346" t="s">
        <v>14</v>
      </c>
      <c r="H346" t="s">
        <v>14</v>
      </c>
      <c r="I346" t="s">
        <v>14</v>
      </c>
      <c r="J346" t="s">
        <v>14</v>
      </c>
      <c r="K346">
        <v>0</v>
      </c>
      <c r="L346" t="s">
        <v>14</v>
      </c>
      <c r="M346" s="1">
        <v>3850000</v>
      </c>
      <c r="P346">
        <v>3850</v>
      </c>
      <c r="Q346">
        <f>IF(Table1[[#This Row],[furnishingstatus]]="furnished", 1, 0)</f>
        <v>0</v>
      </c>
      <c r="R346">
        <f>IF(Table1[[#This Row],[furnishingstatus]]="semi-furnished", 1, 0)</f>
        <v>1</v>
      </c>
      <c r="S346">
        <v>2</v>
      </c>
      <c r="T346">
        <v>1</v>
      </c>
      <c r="U346">
        <v>1</v>
      </c>
      <c r="V346">
        <f>IF(Table1[[#This Row],[mainroad]] = "yes", 1, 0)</f>
        <v>1</v>
      </c>
      <c r="W346">
        <f>IF(Table1[[#This Row],[guestroom]]= "yes", 1, 0)</f>
        <v>0</v>
      </c>
      <c r="X346">
        <f>IF(Table1[[#This Row],[basement]]="yes", 1, 0)</f>
        <v>0</v>
      </c>
      <c r="Y346">
        <f>IF(Table1[[#This Row],[hotwaterheating]]="yes", 1, 0)</f>
        <v>0</v>
      </c>
      <c r="Z346">
        <f>IF(Table1[[#This Row],[airconditioning]]="yes", 1, 0)</f>
        <v>0</v>
      </c>
      <c r="AA346">
        <v>0</v>
      </c>
      <c r="AB346">
        <f>IF(Table1[[#This Row],[prefarea]]= "yes", 1, 0)</f>
        <v>0</v>
      </c>
      <c r="AC346" s="1">
        <v>3850000</v>
      </c>
    </row>
    <row r="347" spans="1:29">
      <c r="A347">
        <v>2015</v>
      </c>
      <c r="B347" t="s">
        <v>16</v>
      </c>
      <c r="C347">
        <v>3</v>
      </c>
      <c r="D347">
        <v>1</v>
      </c>
      <c r="E347">
        <v>2</v>
      </c>
      <c r="F347" t="s">
        <v>13</v>
      </c>
      <c r="G347" t="s">
        <v>14</v>
      </c>
      <c r="H347" t="s">
        <v>13</v>
      </c>
      <c r="I347" t="s">
        <v>14</v>
      </c>
      <c r="J347" t="s">
        <v>14</v>
      </c>
      <c r="K347">
        <v>0</v>
      </c>
      <c r="L347" t="s">
        <v>13</v>
      </c>
      <c r="M347" s="1">
        <v>3850000</v>
      </c>
      <c r="P347">
        <v>2015</v>
      </c>
      <c r="Q347">
        <f>IF(Table1[[#This Row],[furnishingstatus]]="furnished", 1, 0)</f>
        <v>0</v>
      </c>
      <c r="R347">
        <f>IF(Table1[[#This Row],[furnishingstatus]]="semi-furnished", 1, 0)</f>
        <v>1</v>
      </c>
      <c r="S347">
        <v>3</v>
      </c>
      <c r="T347">
        <v>1</v>
      </c>
      <c r="U347">
        <v>2</v>
      </c>
      <c r="V347">
        <f>IF(Table1[[#This Row],[mainroad]] = "yes", 1, 0)</f>
        <v>1</v>
      </c>
      <c r="W347">
        <f>IF(Table1[[#This Row],[guestroom]]= "yes", 1, 0)</f>
        <v>0</v>
      </c>
      <c r="X347">
        <f>IF(Table1[[#This Row],[basement]]="yes", 1, 0)</f>
        <v>1</v>
      </c>
      <c r="Y347">
        <f>IF(Table1[[#This Row],[hotwaterheating]]="yes", 1, 0)</f>
        <v>0</v>
      </c>
      <c r="Z347">
        <f>IF(Table1[[#This Row],[airconditioning]]="yes", 1, 0)</f>
        <v>0</v>
      </c>
      <c r="AA347">
        <v>0</v>
      </c>
      <c r="AB347">
        <f>IF(Table1[[#This Row],[prefarea]]= "yes", 1, 0)</f>
        <v>1</v>
      </c>
      <c r="AC347" s="1">
        <v>3850000</v>
      </c>
    </row>
    <row r="348" spans="1:29">
      <c r="A348">
        <v>2176</v>
      </c>
      <c r="B348" t="s">
        <v>16</v>
      </c>
      <c r="C348">
        <v>2</v>
      </c>
      <c r="D348">
        <v>1</v>
      </c>
      <c r="E348">
        <v>2</v>
      </c>
      <c r="F348" t="s">
        <v>13</v>
      </c>
      <c r="G348" t="s">
        <v>13</v>
      </c>
      <c r="H348" t="s">
        <v>14</v>
      </c>
      <c r="I348" t="s">
        <v>14</v>
      </c>
      <c r="J348" t="s">
        <v>14</v>
      </c>
      <c r="K348">
        <v>0</v>
      </c>
      <c r="L348" t="s">
        <v>13</v>
      </c>
      <c r="M348" s="1">
        <v>3850000</v>
      </c>
      <c r="P348">
        <v>2176</v>
      </c>
      <c r="Q348">
        <f>IF(Table1[[#This Row],[furnishingstatus]]="furnished", 1, 0)</f>
        <v>0</v>
      </c>
      <c r="R348">
        <f>IF(Table1[[#This Row],[furnishingstatus]]="semi-furnished", 1, 0)</f>
        <v>1</v>
      </c>
      <c r="S348">
        <v>2</v>
      </c>
      <c r="T348">
        <v>1</v>
      </c>
      <c r="U348">
        <v>2</v>
      </c>
      <c r="V348">
        <f>IF(Table1[[#This Row],[mainroad]] = "yes", 1, 0)</f>
        <v>1</v>
      </c>
      <c r="W348">
        <f>IF(Table1[[#This Row],[guestroom]]= "yes", 1, 0)</f>
        <v>1</v>
      </c>
      <c r="X348">
        <f>IF(Table1[[#This Row],[basement]]="yes", 1, 0)</f>
        <v>0</v>
      </c>
      <c r="Y348">
        <f>IF(Table1[[#This Row],[hotwaterheating]]="yes", 1, 0)</f>
        <v>0</v>
      </c>
      <c r="Z348">
        <f>IF(Table1[[#This Row],[airconditioning]]="yes", 1, 0)</f>
        <v>0</v>
      </c>
      <c r="AA348">
        <v>0</v>
      </c>
      <c r="AB348">
        <f>IF(Table1[[#This Row],[prefarea]]= "yes", 1, 0)</f>
        <v>1</v>
      </c>
      <c r="AC348" s="1">
        <v>3850000</v>
      </c>
    </row>
    <row r="349" spans="1:29">
      <c r="A349">
        <v>3350</v>
      </c>
      <c r="B349" t="s">
        <v>17</v>
      </c>
      <c r="C349">
        <v>3</v>
      </c>
      <c r="D349">
        <v>1</v>
      </c>
      <c r="E349">
        <v>2</v>
      </c>
      <c r="F349" t="s">
        <v>13</v>
      </c>
      <c r="G349" t="s">
        <v>14</v>
      </c>
      <c r="H349" t="s">
        <v>14</v>
      </c>
      <c r="I349" t="s">
        <v>14</v>
      </c>
      <c r="J349" t="s">
        <v>14</v>
      </c>
      <c r="K349">
        <v>0</v>
      </c>
      <c r="L349" t="s">
        <v>14</v>
      </c>
      <c r="M349" s="1">
        <v>3836000</v>
      </c>
      <c r="P349">
        <v>3350</v>
      </c>
      <c r="Q349">
        <f>IF(Table1[[#This Row],[furnishingstatus]]="furnished", 1, 0)</f>
        <v>0</v>
      </c>
      <c r="R349">
        <f>IF(Table1[[#This Row],[furnishingstatus]]="semi-furnished", 1, 0)</f>
        <v>0</v>
      </c>
      <c r="S349">
        <v>3</v>
      </c>
      <c r="T349">
        <v>1</v>
      </c>
      <c r="U349">
        <v>2</v>
      </c>
      <c r="V349">
        <f>IF(Table1[[#This Row],[mainroad]] = "yes", 1, 0)</f>
        <v>1</v>
      </c>
      <c r="W349">
        <f>IF(Table1[[#This Row],[guestroom]]= "yes", 1, 0)</f>
        <v>0</v>
      </c>
      <c r="X349">
        <f>IF(Table1[[#This Row],[basement]]="yes", 1, 0)</f>
        <v>0</v>
      </c>
      <c r="Y349">
        <f>IF(Table1[[#This Row],[hotwaterheating]]="yes", 1, 0)</f>
        <v>0</v>
      </c>
      <c r="Z349">
        <f>IF(Table1[[#This Row],[airconditioning]]="yes", 1, 0)</f>
        <v>0</v>
      </c>
      <c r="AA349">
        <v>0</v>
      </c>
      <c r="AB349">
        <f>IF(Table1[[#This Row],[prefarea]]= "yes", 1, 0)</f>
        <v>0</v>
      </c>
      <c r="AC349" s="1">
        <v>3836000</v>
      </c>
    </row>
    <row r="350" spans="1:29">
      <c r="A350">
        <v>3150</v>
      </c>
      <c r="B350" t="s">
        <v>16</v>
      </c>
      <c r="C350">
        <v>2</v>
      </c>
      <c r="D350">
        <v>2</v>
      </c>
      <c r="E350">
        <v>1</v>
      </c>
      <c r="F350" t="s">
        <v>14</v>
      </c>
      <c r="G350" t="s">
        <v>14</v>
      </c>
      <c r="H350" t="s">
        <v>13</v>
      </c>
      <c r="I350" t="s">
        <v>14</v>
      </c>
      <c r="J350" t="s">
        <v>14</v>
      </c>
      <c r="K350">
        <v>0</v>
      </c>
      <c r="L350" t="s">
        <v>14</v>
      </c>
      <c r="M350" s="1">
        <v>3815000</v>
      </c>
      <c r="P350">
        <v>3150</v>
      </c>
      <c r="Q350">
        <f>IF(Table1[[#This Row],[furnishingstatus]]="furnished", 1, 0)</f>
        <v>0</v>
      </c>
      <c r="R350">
        <f>IF(Table1[[#This Row],[furnishingstatus]]="semi-furnished", 1, 0)</f>
        <v>1</v>
      </c>
      <c r="S350">
        <v>2</v>
      </c>
      <c r="T350">
        <v>2</v>
      </c>
      <c r="U350">
        <v>1</v>
      </c>
      <c r="V350">
        <f>IF(Table1[[#This Row],[mainroad]] = "yes", 1, 0)</f>
        <v>0</v>
      </c>
      <c r="W350">
        <f>IF(Table1[[#This Row],[guestroom]]= "yes", 1, 0)</f>
        <v>0</v>
      </c>
      <c r="X350">
        <f>IF(Table1[[#This Row],[basement]]="yes", 1, 0)</f>
        <v>1</v>
      </c>
      <c r="Y350">
        <f>IF(Table1[[#This Row],[hotwaterheating]]="yes", 1, 0)</f>
        <v>0</v>
      </c>
      <c r="Z350">
        <f>IF(Table1[[#This Row],[airconditioning]]="yes", 1, 0)</f>
        <v>0</v>
      </c>
      <c r="AA350">
        <v>0</v>
      </c>
      <c r="AB350">
        <f>IF(Table1[[#This Row],[prefarea]]= "yes", 1, 0)</f>
        <v>0</v>
      </c>
      <c r="AC350" s="1">
        <v>3815000</v>
      </c>
    </row>
    <row r="351" spans="1:29">
      <c r="A351">
        <v>4820</v>
      </c>
      <c r="B351" t="s">
        <v>16</v>
      </c>
      <c r="C351">
        <v>3</v>
      </c>
      <c r="D351">
        <v>1</v>
      </c>
      <c r="E351">
        <v>2</v>
      </c>
      <c r="F351" t="s">
        <v>13</v>
      </c>
      <c r="G351" t="s">
        <v>14</v>
      </c>
      <c r="H351" t="s">
        <v>14</v>
      </c>
      <c r="I351" t="s">
        <v>14</v>
      </c>
      <c r="J351" t="s">
        <v>14</v>
      </c>
      <c r="K351">
        <v>0</v>
      </c>
      <c r="L351" t="s">
        <v>14</v>
      </c>
      <c r="M351" s="1">
        <v>3780000</v>
      </c>
      <c r="P351">
        <v>4820</v>
      </c>
      <c r="Q351">
        <f>IF(Table1[[#This Row],[furnishingstatus]]="furnished", 1, 0)</f>
        <v>0</v>
      </c>
      <c r="R351">
        <f>IF(Table1[[#This Row],[furnishingstatus]]="semi-furnished", 1, 0)</f>
        <v>1</v>
      </c>
      <c r="S351">
        <v>3</v>
      </c>
      <c r="T351">
        <v>1</v>
      </c>
      <c r="U351">
        <v>2</v>
      </c>
      <c r="V351">
        <f>IF(Table1[[#This Row],[mainroad]] = "yes", 1, 0)</f>
        <v>1</v>
      </c>
      <c r="W351">
        <f>IF(Table1[[#This Row],[guestroom]]= "yes", 1, 0)</f>
        <v>0</v>
      </c>
      <c r="X351">
        <f>IF(Table1[[#This Row],[basement]]="yes", 1, 0)</f>
        <v>0</v>
      </c>
      <c r="Y351">
        <f>IF(Table1[[#This Row],[hotwaterheating]]="yes", 1, 0)</f>
        <v>0</v>
      </c>
      <c r="Z351">
        <f>IF(Table1[[#This Row],[airconditioning]]="yes", 1, 0)</f>
        <v>0</v>
      </c>
      <c r="AA351">
        <v>0</v>
      </c>
      <c r="AB351">
        <f>IF(Table1[[#This Row],[prefarea]]= "yes", 1, 0)</f>
        <v>0</v>
      </c>
      <c r="AC351" s="1">
        <v>3780000</v>
      </c>
    </row>
    <row r="352" spans="1:29">
      <c r="A352">
        <v>3420</v>
      </c>
      <c r="B352" t="s">
        <v>16</v>
      </c>
      <c r="C352">
        <v>2</v>
      </c>
      <c r="D352">
        <v>1</v>
      </c>
      <c r="E352">
        <v>2</v>
      </c>
      <c r="F352" t="s">
        <v>13</v>
      </c>
      <c r="G352" t="s">
        <v>14</v>
      </c>
      <c r="H352" t="s">
        <v>14</v>
      </c>
      <c r="I352" t="s">
        <v>13</v>
      </c>
      <c r="J352" t="s">
        <v>14</v>
      </c>
      <c r="K352">
        <v>1</v>
      </c>
      <c r="L352" t="s">
        <v>14</v>
      </c>
      <c r="M352" s="1">
        <v>3780000</v>
      </c>
      <c r="P352">
        <v>3420</v>
      </c>
      <c r="Q352">
        <f>IF(Table1[[#This Row],[furnishingstatus]]="furnished", 1, 0)</f>
        <v>0</v>
      </c>
      <c r="R352">
        <f>IF(Table1[[#This Row],[furnishingstatus]]="semi-furnished", 1, 0)</f>
        <v>1</v>
      </c>
      <c r="S352">
        <v>2</v>
      </c>
      <c r="T352">
        <v>1</v>
      </c>
      <c r="U352">
        <v>2</v>
      </c>
      <c r="V352">
        <f>IF(Table1[[#This Row],[mainroad]] = "yes", 1, 0)</f>
        <v>1</v>
      </c>
      <c r="W352">
        <f>IF(Table1[[#This Row],[guestroom]]= "yes", 1, 0)</f>
        <v>0</v>
      </c>
      <c r="X352">
        <f>IF(Table1[[#This Row],[basement]]="yes", 1, 0)</f>
        <v>0</v>
      </c>
      <c r="Y352">
        <f>IF(Table1[[#This Row],[hotwaterheating]]="yes", 1, 0)</f>
        <v>1</v>
      </c>
      <c r="Z352">
        <f>IF(Table1[[#This Row],[airconditioning]]="yes", 1, 0)</f>
        <v>0</v>
      </c>
      <c r="AA352">
        <v>1</v>
      </c>
      <c r="AB352">
        <f>IF(Table1[[#This Row],[prefarea]]= "yes", 1, 0)</f>
        <v>0</v>
      </c>
      <c r="AC352" s="1">
        <v>3780000</v>
      </c>
    </row>
    <row r="353" spans="1:29">
      <c r="A353">
        <v>3600</v>
      </c>
      <c r="B353" t="s">
        <v>16</v>
      </c>
      <c r="C353">
        <v>2</v>
      </c>
      <c r="D353">
        <v>1</v>
      </c>
      <c r="E353">
        <v>1</v>
      </c>
      <c r="F353" t="s">
        <v>13</v>
      </c>
      <c r="G353" t="s">
        <v>14</v>
      </c>
      <c r="H353" t="s">
        <v>14</v>
      </c>
      <c r="I353" t="s">
        <v>14</v>
      </c>
      <c r="J353" t="s">
        <v>14</v>
      </c>
      <c r="K353">
        <v>0</v>
      </c>
      <c r="L353" t="s">
        <v>14</v>
      </c>
      <c r="M353" s="1">
        <v>3780000</v>
      </c>
      <c r="P353">
        <v>3600</v>
      </c>
      <c r="Q353">
        <f>IF(Table1[[#This Row],[furnishingstatus]]="furnished", 1, 0)</f>
        <v>0</v>
      </c>
      <c r="R353">
        <f>IF(Table1[[#This Row],[furnishingstatus]]="semi-furnished", 1, 0)</f>
        <v>1</v>
      </c>
      <c r="S353">
        <v>2</v>
      </c>
      <c r="T353">
        <v>1</v>
      </c>
      <c r="U353">
        <v>1</v>
      </c>
      <c r="V353">
        <f>IF(Table1[[#This Row],[mainroad]] = "yes", 1, 0)</f>
        <v>1</v>
      </c>
      <c r="W353">
        <f>IF(Table1[[#This Row],[guestroom]]= "yes", 1, 0)</f>
        <v>0</v>
      </c>
      <c r="X353">
        <f>IF(Table1[[#This Row],[basement]]="yes", 1, 0)</f>
        <v>0</v>
      </c>
      <c r="Y353">
        <f>IF(Table1[[#This Row],[hotwaterheating]]="yes", 1, 0)</f>
        <v>0</v>
      </c>
      <c r="Z353">
        <f>IF(Table1[[#This Row],[airconditioning]]="yes", 1, 0)</f>
        <v>0</v>
      </c>
      <c r="AA353">
        <v>0</v>
      </c>
      <c r="AB353">
        <f>IF(Table1[[#This Row],[prefarea]]= "yes", 1, 0)</f>
        <v>0</v>
      </c>
      <c r="AC353" s="1">
        <v>3780000</v>
      </c>
    </row>
    <row r="354" spans="1:29">
      <c r="A354">
        <v>5830</v>
      </c>
      <c r="B354" t="s">
        <v>17</v>
      </c>
      <c r="C354">
        <v>2</v>
      </c>
      <c r="D354">
        <v>1</v>
      </c>
      <c r="E354">
        <v>1</v>
      </c>
      <c r="F354" t="s">
        <v>13</v>
      </c>
      <c r="G354" t="s">
        <v>14</v>
      </c>
      <c r="H354" t="s">
        <v>14</v>
      </c>
      <c r="I354" t="s">
        <v>14</v>
      </c>
      <c r="J354" t="s">
        <v>14</v>
      </c>
      <c r="K354">
        <v>2</v>
      </c>
      <c r="L354" t="s">
        <v>14</v>
      </c>
      <c r="M354" s="1">
        <v>3780000</v>
      </c>
      <c r="P354">
        <v>5830</v>
      </c>
      <c r="Q354">
        <f>IF(Table1[[#This Row],[furnishingstatus]]="furnished", 1, 0)</f>
        <v>0</v>
      </c>
      <c r="R354">
        <f>IF(Table1[[#This Row],[furnishingstatus]]="semi-furnished", 1, 0)</f>
        <v>0</v>
      </c>
      <c r="S354">
        <v>2</v>
      </c>
      <c r="T354">
        <v>1</v>
      </c>
      <c r="U354">
        <v>1</v>
      </c>
      <c r="V354">
        <f>IF(Table1[[#This Row],[mainroad]] = "yes", 1, 0)</f>
        <v>1</v>
      </c>
      <c r="W354">
        <f>IF(Table1[[#This Row],[guestroom]]= "yes", 1, 0)</f>
        <v>0</v>
      </c>
      <c r="X354">
        <f>IF(Table1[[#This Row],[basement]]="yes", 1, 0)</f>
        <v>0</v>
      </c>
      <c r="Y354">
        <f>IF(Table1[[#This Row],[hotwaterheating]]="yes", 1, 0)</f>
        <v>0</v>
      </c>
      <c r="Z354">
        <f>IF(Table1[[#This Row],[airconditioning]]="yes", 1, 0)</f>
        <v>0</v>
      </c>
      <c r="AA354">
        <v>2</v>
      </c>
      <c r="AB354">
        <f>IF(Table1[[#This Row],[prefarea]]= "yes", 1, 0)</f>
        <v>0</v>
      </c>
      <c r="AC354" s="1">
        <v>3780000</v>
      </c>
    </row>
    <row r="355" spans="1:29">
      <c r="A355">
        <v>2856</v>
      </c>
      <c r="B355" t="s">
        <v>15</v>
      </c>
      <c r="C355">
        <v>3</v>
      </c>
      <c r="D355">
        <v>1</v>
      </c>
      <c r="E355">
        <v>3</v>
      </c>
      <c r="F355" t="s">
        <v>13</v>
      </c>
      <c r="G355" t="s">
        <v>14</v>
      </c>
      <c r="H355" t="s">
        <v>14</v>
      </c>
      <c r="I355" t="s">
        <v>14</v>
      </c>
      <c r="J355" t="s">
        <v>14</v>
      </c>
      <c r="K355">
        <v>0</v>
      </c>
      <c r="L355" t="s">
        <v>13</v>
      </c>
      <c r="M355" s="1">
        <v>3780000</v>
      </c>
      <c r="P355">
        <v>2856</v>
      </c>
      <c r="Q355">
        <f>IF(Table1[[#This Row],[furnishingstatus]]="furnished", 1, 0)</f>
        <v>1</v>
      </c>
      <c r="R355">
        <f>IF(Table1[[#This Row],[furnishingstatus]]="semi-furnished", 1, 0)</f>
        <v>0</v>
      </c>
      <c r="S355">
        <v>3</v>
      </c>
      <c r="T355">
        <v>1</v>
      </c>
      <c r="U355">
        <v>3</v>
      </c>
      <c r="V355">
        <f>IF(Table1[[#This Row],[mainroad]] = "yes", 1, 0)</f>
        <v>1</v>
      </c>
      <c r="W355">
        <f>IF(Table1[[#This Row],[guestroom]]= "yes", 1, 0)</f>
        <v>0</v>
      </c>
      <c r="X355">
        <f>IF(Table1[[#This Row],[basement]]="yes", 1, 0)</f>
        <v>0</v>
      </c>
      <c r="Y355">
        <f>IF(Table1[[#This Row],[hotwaterheating]]="yes", 1, 0)</f>
        <v>0</v>
      </c>
      <c r="Z355">
        <f>IF(Table1[[#This Row],[airconditioning]]="yes", 1, 0)</f>
        <v>0</v>
      </c>
      <c r="AA355">
        <v>0</v>
      </c>
      <c r="AB355">
        <f>IF(Table1[[#This Row],[prefarea]]= "yes", 1, 0)</f>
        <v>1</v>
      </c>
      <c r="AC355" s="1">
        <v>3780000</v>
      </c>
    </row>
    <row r="356" spans="1:29">
      <c r="A356">
        <v>8400</v>
      </c>
      <c r="B356" t="s">
        <v>15</v>
      </c>
      <c r="C356">
        <v>2</v>
      </c>
      <c r="D356">
        <v>1</v>
      </c>
      <c r="E356">
        <v>1</v>
      </c>
      <c r="F356" t="s">
        <v>13</v>
      </c>
      <c r="G356" t="s">
        <v>14</v>
      </c>
      <c r="H356" t="s">
        <v>14</v>
      </c>
      <c r="I356" t="s">
        <v>14</v>
      </c>
      <c r="J356" t="s">
        <v>14</v>
      </c>
      <c r="K356">
        <v>1</v>
      </c>
      <c r="L356" t="s">
        <v>14</v>
      </c>
      <c r="M356" s="1">
        <v>3780000</v>
      </c>
      <c r="P356">
        <v>8400</v>
      </c>
      <c r="Q356">
        <f>IF(Table1[[#This Row],[furnishingstatus]]="furnished", 1, 0)</f>
        <v>1</v>
      </c>
      <c r="R356">
        <f>IF(Table1[[#This Row],[furnishingstatus]]="semi-furnished", 1, 0)</f>
        <v>0</v>
      </c>
      <c r="S356">
        <v>2</v>
      </c>
      <c r="T356">
        <v>1</v>
      </c>
      <c r="U356">
        <v>1</v>
      </c>
      <c r="V356">
        <f>IF(Table1[[#This Row],[mainroad]] = "yes", 1, 0)</f>
        <v>1</v>
      </c>
      <c r="W356">
        <f>IF(Table1[[#This Row],[guestroom]]= "yes", 1, 0)</f>
        <v>0</v>
      </c>
      <c r="X356">
        <f>IF(Table1[[#This Row],[basement]]="yes", 1, 0)</f>
        <v>0</v>
      </c>
      <c r="Y356">
        <f>IF(Table1[[#This Row],[hotwaterheating]]="yes", 1, 0)</f>
        <v>0</v>
      </c>
      <c r="Z356">
        <f>IF(Table1[[#This Row],[airconditioning]]="yes", 1, 0)</f>
        <v>0</v>
      </c>
      <c r="AA356">
        <v>1</v>
      </c>
      <c r="AB356">
        <f>IF(Table1[[#This Row],[prefarea]]= "yes", 1, 0)</f>
        <v>0</v>
      </c>
      <c r="AC356" s="1">
        <v>3780000</v>
      </c>
    </row>
    <row r="357" spans="1:29">
      <c r="A357">
        <v>8250</v>
      </c>
      <c r="B357" t="s">
        <v>15</v>
      </c>
      <c r="C357">
        <v>3</v>
      </c>
      <c r="D357">
        <v>1</v>
      </c>
      <c r="E357">
        <v>1</v>
      </c>
      <c r="F357" t="s">
        <v>13</v>
      </c>
      <c r="G357" t="s">
        <v>14</v>
      </c>
      <c r="H357" t="s">
        <v>14</v>
      </c>
      <c r="I357" t="s">
        <v>14</v>
      </c>
      <c r="J357" t="s">
        <v>14</v>
      </c>
      <c r="K357">
        <v>2</v>
      </c>
      <c r="L357" t="s">
        <v>14</v>
      </c>
      <c r="M357" s="1">
        <v>3773000</v>
      </c>
      <c r="P357">
        <v>8250</v>
      </c>
      <c r="Q357">
        <f>IF(Table1[[#This Row],[furnishingstatus]]="furnished", 1, 0)</f>
        <v>1</v>
      </c>
      <c r="R357">
        <f>IF(Table1[[#This Row],[furnishingstatus]]="semi-furnished", 1, 0)</f>
        <v>0</v>
      </c>
      <c r="S357">
        <v>3</v>
      </c>
      <c r="T357">
        <v>1</v>
      </c>
      <c r="U357">
        <v>1</v>
      </c>
      <c r="V357">
        <f>IF(Table1[[#This Row],[mainroad]] = "yes", 1, 0)</f>
        <v>1</v>
      </c>
      <c r="W357">
        <f>IF(Table1[[#This Row],[guestroom]]= "yes", 1, 0)</f>
        <v>0</v>
      </c>
      <c r="X357">
        <f>IF(Table1[[#This Row],[basement]]="yes", 1, 0)</f>
        <v>0</v>
      </c>
      <c r="Y357">
        <f>IF(Table1[[#This Row],[hotwaterheating]]="yes", 1, 0)</f>
        <v>0</v>
      </c>
      <c r="Z357">
        <f>IF(Table1[[#This Row],[airconditioning]]="yes", 1, 0)</f>
        <v>0</v>
      </c>
      <c r="AA357">
        <v>2</v>
      </c>
      <c r="AB357">
        <f>IF(Table1[[#This Row],[prefarea]]= "yes", 1, 0)</f>
        <v>0</v>
      </c>
      <c r="AC357" s="1">
        <v>3773000</v>
      </c>
    </row>
    <row r="358" spans="1:29">
      <c r="A358">
        <v>2520</v>
      </c>
      <c r="B358" t="s">
        <v>15</v>
      </c>
      <c r="C358">
        <v>5</v>
      </c>
      <c r="D358">
        <v>2</v>
      </c>
      <c r="E358">
        <v>1</v>
      </c>
      <c r="F358" t="s">
        <v>14</v>
      </c>
      <c r="G358" t="s">
        <v>14</v>
      </c>
      <c r="H358" t="s">
        <v>13</v>
      </c>
      <c r="I358" t="s">
        <v>14</v>
      </c>
      <c r="J358" t="s">
        <v>13</v>
      </c>
      <c r="K358">
        <v>1</v>
      </c>
      <c r="L358" t="s">
        <v>14</v>
      </c>
      <c r="M358" s="1">
        <v>3773000</v>
      </c>
      <c r="P358">
        <v>2520</v>
      </c>
      <c r="Q358">
        <f>IF(Table1[[#This Row],[furnishingstatus]]="furnished", 1, 0)</f>
        <v>1</v>
      </c>
      <c r="R358">
        <f>IF(Table1[[#This Row],[furnishingstatus]]="semi-furnished", 1, 0)</f>
        <v>0</v>
      </c>
      <c r="S358">
        <v>5</v>
      </c>
      <c r="T358">
        <v>2</v>
      </c>
      <c r="U358">
        <v>1</v>
      </c>
      <c r="V358">
        <f>IF(Table1[[#This Row],[mainroad]] = "yes", 1, 0)</f>
        <v>0</v>
      </c>
      <c r="W358">
        <f>IF(Table1[[#This Row],[guestroom]]= "yes", 1, 0)</f>
        <v>0</v>
      </c>
      <c r="X358">
        <f>IF(Table1[[#This Row],[basement]]="yes", 1, 0)</f>
        <v>1</v>
      </c>
      <c r="Y358">
        <f>IF(Table1[[#This Row],[hotwaterheating]]="yes", 1, 0)</f>
        <v>0</v>
      </c>
      <c r="Z358">
        <f>IF(Table1[[#This Row],[airconditioning]]="yes", 1, 0)</f>
        <v>1</v>
      </c>
      <c r="AA358">
        <v>1</v>
      </c>
      <c r="AB358">
        <f>IF(Table1[[#This Row],[prefarea]]= "yes", 1, 0)</f>
        <v>0</v>
      </c>
      <c r="AC358" s="1">
        <v>3773000</v>
      </c>
    </row>
    <row r="359" spans="1:29">
      <c r="A359">
        <v>6930</v>
      </c>
      <c r="B359" t="s">
        <v>15</v>
      </c>
      <c r="C359">
        <v>4</v>
      </c>
      <c r="D359">
        <v>1</v>
      </c>
      <c r="E359">
        <v>2</v>
      </c>
      <c r="F359" t="s">
        <v>14</v>
      </c>
      <c r="G359" t="s">
        <v>14</v>
      </c>
      <c r="H359" t="s">
        <v>14</v>
      </c>
      <c r="I359" t="s">
        <v>14</v>
      </c>
      <c r="J359" t="s">
        <v>14</v>
      </c>
      <c r="K359">
        <v>1</v>
      </c>
      <c r="L359" t="s">
        <v>14</v>
      </c>
      <c r="M359" s="1">
        <v>3773000</v>
      </c>
      <c r="P359">
        <v>6930</v>
      </c>
      <c r="Q359">
        <f>IF(Table1[[#This Row],[furnishingstatus]]="furnished", 1, 0)</f>
        <v>1</v>
      </c>
      <c r="R359">
        <f>IF(Table1[[#This Row],[furnishingstatus]]="semi-furnished", 1, 0)</f>
        <v>0</v>
      </c>
      <c r="S359">
        <v>4</v>
      </c>
      <c r="T359">
        <v>1</v>
      </c>
      <c r="U359">
        <v>2</v>
      </c>
      <c r="V359">
        <f>IF(Table1[[#This Row],[mainroad]] = "yes", 1, 0)</f>
        <v>0</v>
      </c>
      <c r="W359">
        <f>IF(Table1[[#This Row],[guestroom]]= "yes", 1, 0)</f>
        <v>0</v>
      </c>
      <c r="X359">
        <f>IF(Table1[[#This Row],[basement]]="yes", 1, 0)</f>
        <v>0</v>
      </c>
      <c r="Y359">
        <f>IF(Table1[[#This Row],[hotwaterheating]]="yes", 1, 0)</f>
        <v>0</v>
      </c>
      <c r="Z359">
        <f>IF(Table1[[#This Row],[airconditioning]]="yes", 1, 0)</f>
        <v>0</v>
      </c>
      <c r="AA359">
        <v>1</v>
      </c>
      <c r="AB359">
        <f>IF(Table1[[#This Row],[prefarea]]= "yes", 1, 0)</f>
        <v>0</v>
      </c>
      <c r="AC359" s="1">
        <v>3773000</v>
      </c>
    </row>
    <row r="360" spans="1:29">
      <c r="A360">
        <v>3480</v>
      </c>
      <c r="B360" t="s">
        <v>16</v>
      </c>
      <c r="C360">
        <v>2</v>
      </c>
      <c r="D360">
        <v>1</v>
      </c>
      <c r="E360">
        <v>1</v>
      </c>
      <c r="F360" t="s">
        <v>13</v>
      </c>
      <c r="G360" t="s">
        <v>14</v>
      </c>
      <c r="H360" t="s">
        <v>14</v>
      </c>
      <c r="I360" t="s">
        <v>14</v>
      </c>
      <c r="J360" t="s">
        <v>14</v>
      </c>
      <c r="K360">
        <v>0</v>
      </c>
      <c r="L360" t="s">
        <v>13</v>
      </c>
      <c r="M360" s="1">
        <v>3745000</v>
      </c>
      <c r="P360">
        <v>3480</v>
      </c>
      <c r="Q360">
        <f>IF(Table1[[#This Row],[furnishingstatus]]="furnished", 1, 0)</f>
        <v>0</v>
      </c>
      <c r="R360">
        <f>IF(Table1[[#This Row],[furnishingstatus]]="semi-furnished", 1, 0)</f>
        <v>1</v>
      </c>
      <c r="S360">
        <v>2</v>
      </c>
      <c r="T360">
        <v>1</v>
      </c>
      <c r="U360">
        <v>1</v>
      </c>
      <c r="V360">
        <f>IF(Table1[[#This Row],[mainroad]] = "yes", 1, 0)</f>
        <v>1</v>
      </c>
      <c r="W360">
        <f>IF(Table1[[#This Row],[guestroom]]= "yes", 1, 0)</f>
        <v>0</v>
      </c>
      <c r="X360">
        <f>IF(Table1[[#This Row],[basement]]="yes", 1, 0)</f>
        <v>0</v>
      </c>
      <c r="Y360">
        <f>IF(Table1[[#This Row],[hotwaterheating]]="yes", 1, 0)</f>
        <v>0</v>
      </c>
      <c r="Z360">
        <f>IF(Table1[[#This Row],[airconditioning]]="yes", 1, 0)</f>
        <v>0</v>
      </c>
      <c r="AA360">
        <v>0</v>
      </c>
      <c r="AB360">
        <f>IF(Table1[[#This Row],[prefarea]]= "yes", 1, 0)</f>
        <v>1</v>
      </c>
      <c r="AC360" s="1">
        <v>3745000</v>
      </c>
    </row>
    <row r="361" spans="1:29">
      <c r="A361">
        <v>3600</v>
      </c>
      <c r="B361" t="s">
        <v>17</v>
      </c>
      <c r="C361">
        <v>3</v>
      </c>
      <c r="D361">
        <v>1</v>
      </c>
      <c r="E361">
        <v>1</v>
      </c>
      <c r="F361" t="s">
        <v>13</v>
      </c>
      <c r="G361" t="s">
        <v>14</v>
      </c>
      <c r="H361" t="s">
        <v>14</v>
      </c>
      <c r="I361" t="s">
        <v>14</v>
      </c>
      <c r="J361" t="s">
        <v>14</v>
      </c>
      <c r="K361">
        <v>1</v>
      </c>
      <c r="L361" t="s">
        <v>14</v>
      </c>
      <c r="M361" s="1">
        <v>3710000</v>
      </c>
      <c r="P361">
        <v>3600</v>
      </c>
      <c r="Q361">
        <f>IF(Table1[[#This Row],[furnishingstatus]]="furnished", 1, 0)</f>
        <v>0</v>
      </c>
      <c r="R361">
        <f>IF(Table1[[#This Row],[furnishingstatus]]="semi-furnished", 1, 0)</f>
        <v>0</v>
      </c>
      <c r="S361">
        <v>3</v>
      </c>
      <c r="T361">
        <v>1</v>
      </c>
      <c r="U361">
        <v>1</v>
      </c>
      <c r="V361">
        <f>IF(Table1[[#This Row],[mainroad]] = "yes", 1, 0)</f>
        <v>1</v>
      </c>
      <c r="W361">
        <f>IF(Table1[[#This Row],[guestroom]]= "yes", 1, 0)</f>
        <v>0</v>
      </c>
      <c r="X361">
        <f>IF(Table1[[#This Row],[basement]]="yes", 1, 0)</f>
        <v>0</v>
      </c>
      <c r="Y361">
        <f>IF(Table1[[#This Row],[hotwaterheating]]="yes", 1, 0)</f>
        <v>0</v>
      </c>
      <c r="Z361">
        <f>IF(Table1[[#This Row],[airconditioning]]="yes", 1, 0)</f>
        <v>0</v>
      </c>
      <c r="AA361">
        <v>1</v>
      </c>
      <c r="AB361">
        <f>IF(Table1[[#This Row],[prefarea]]= "yes", 1, 0)</f>
        <v>0</v>
      </c>
      <c r="AC361" s="1">
        <v>3710000</v>
      </c>
    </row>
    <row r="362" spans="1:29">
      <c r="A362">
        <v>4040</v>
      </c>
      <c r="B362" t="s">
        <v>16</v>
      </c>
      <c r="C362">
        <v>2</v>
      </c>
      <c r="D362">
        <v>1</v>
      </c>
      <c r="E362">
        <v>1</v>
      </c>
      <c r="F362" t="s">
        <v>13</v>
      </c>
      <c r="G362" t="s">
        <v>14</v>
      </c>
      <c r="H362" t="s">
        <v>14</v>
      </c>
      <c r="I362" t="s">
        <v>14</v>
      </c>
      <c r="J362" t="s">
        <v>14</v>
      </c>
      <c r="K362">
        <v>0</v>
      </c>
      <c r="L362" t="s">
        <v>14</v>
      </c>
      <c r="M362" s="1">
        <v>3710000</v>
      </c>
      <c r="P362">
        <v>4040</v>
      </c>
      <c r="Q362">
        <f>IF(Table1[[#This Row],[furnishingstatus]]="furnished", 1, 0)</f>
        <v>0</v>
      </c>
      <c r="R362">
        <f>IF(Table1[[#This Row],[furnishingstatus]]="semi-furnished", 1, 0)</f>
        <v>1</v>
      </c>
      <c r="S362">
        <v>2</v>
      </c>
      <c r="T362">
        <v>1</v>
      </c>
      <c r="U362">
        <v>1</v>
      </c>
      <c r="V362">
        <f>IF(Table1[[#This Row],[mainroad]] = "yes", 1, 0)</f>
        <v>1</v>
      </c>
      <c r="W362">
        <f>IF(Table1[[#This Row],[guestroom]]= "yes", 1, 0)</f>
        <v>0</v>
      </c>
      <c r="X362">
        <f>IF(Table1[[#This Row],[basement]]="yes", 1, 0)</f>
        <v>0</v>
      </c>
      <c r="Y362">
        <f>IF(Table1[[#This Row],[hotwaterheating]]="yes", 1, 0)</f>
        <v>0</v>
      </c>
      <c r="Z362">
        <f>IF(Table1[[#This Row],[airconditioning]]="yes", 1, 0)</f>
        <v>0</v>
      </c>
      <c r="AA362">
        <v>0</v>
      </c>
      <c r="AB362">
        <f>IF(Table1[[#This Row],[prefarea]]= "yes", 1, 0)</f>
        <v>0</v>
      </c>
      <c r="AC362" s="1">
        <v>3710000</v>
      </c>
    </row>
    <row r="363" spans="1:29">
      <c r="A363">
        <v>6020</v>
      </c>
      <c r="B363" t="s">
        <v>16</v>
      </c>
      <c r="C363">
        <v>3</v>
      </c>
      <c r="D363">
        <v>1</v>
      </c>
      <c r="E363">
        <v>1</v>
      </c>
      <c r="F363" t="s">
        <v>13</v>
      </c>
      <c r="G363" t="s">
        <v>14</v>
      </c>
      <c r="H363" t="s">
        <v>14</v>
      </c>
      <c r="I363" t="s">
        <v>14</v>
      </c>
      <c r="J363" t="s">
        <v>14</v>
      </c>
      <c r="K363">
        <v>0</v>
      </c>
      <c r="L363" t="s">
        <v>14</v>
      </c>
      <c r="M363" s="1">
        <v>3710000</v>
      </c>
      <c r="P363">
        <v>6020</v>
      </c>
      <c r="Q363">
        <f>IF(Table1[[#This Row],[furnishingstatus]]="furnished", 1, 0)</f>
        <v>0</v>
      </c>
      <c r="R363">
        <f>IF(Table1[[#This Row],[furnishingstatus]]="semi-furnished", 1, 0)</f>
        <v>1</v>
      </c>
      <c r="S363">
        <v>3</v>
      </c>
      <c r="T363">
        <v>1</v>
      </c>
      <c r="U363">
        <v>1</v>
      </c>
      <c r="V363">
        <f>IF(Table1[[#This Row],[mainroad]] = "yes", 1, 0)</f>
        <v>1</v>
      </c>
      <c r="W363">
        <f>IF(Table1[[#This Row],[guestroom]]= "yes", 1, 0)</f>
        <v>0</v>
      </c>
      <c r="X363">
        <f>IF(Table1[[#This Row],[basement]]="yes", 1, 0)</f>
        <v>0</v>
      </c>
      <c r="Y363">
        <f>IF(Table1[[#This Row],[hotwaterheating]]="yes", 1, 0)</f>
        <v>0</v>
      </c>
      <c r="Z363">
        <f>IF(Table1[[#This Row],[airconditioning]]="yes", 1, 0)</f>
        <v>0</v>
      </c>
      <c r="AA363">
        <v>0</v>
      </c>
      <c r="AB363">
        <f>IF(Table1[[#This Row],[prefarea]]= "yes", 1, 0)</f>
        <v>0</v>
      </c>
      <c r="AC363" s="1">
        <v>3710000</v>
      </c>
    </row>
    <row r="364" spans="1:29">
      <c r="A364">
        <v>4050</v>
      </c>
      <c r="B364" t="s">
        <v>15</v>
      </c>
      <c r="C364">
        <v>2</v>
      </c>
      <c r="D364">
        <v>1</v>
      </c>
      <c r="E364">
        <v>1</v>
      </c>
      <c r="F364" t="s">
        <v>13</v>
      </c>
      <c r="G364" t="s">
        <v>14</v>
      </c>
      <c r="H364" t="s">
        <v>14</v>
      </c>
      <c r="I364" t="s">
        <v>14</v>
      </c>
      <c r="J364" t="s">
        <v>14</v>
      </c>
      <c r="K364">
        <v>0</v>
      </c>
      <c r="L364" t="s">
        <v>14</v>
      </c>
      <c r="M364" s="1">
        <v>3710000</v>
      </c>
      <c r="P364">
        <v>4050</v>
      </c>
      <c r="Q364">
        <f>IF(Table1[[#This Row],[furnishingstatus]]="furnished", 1, 0)</f>
        <v>1</v>
      </c>
      <c r="R364">
        <f>IF(Table1[[#This Row],[furnishingstatus]]="semi-furnished", 1, 0)</f>
        <v>0</v>
      </c>
      <c r="S364">
        <v>2</v>
      </c>
      <c r="T364">
        <v>1</v>
      </c>
      <c r="U364">
        <v>1</v>
      </c>
      <c r="V364">
        <f>IF(Table1[[#This Row],[mainroad]] = "yes", 1, 0)</f>
        <v>1</v>
      </c>
      <c r="W364">
        <f>IF(Table1[[#This Row],[guestroom]]= "yes", 1, 0)</f>
        <v>0</v>
      </c>
      <c r="X364">
        <f>IF(Table1[[#This Row],[basement]]="yes", 1, 0)</f>
        <v>0</v>
      </c>
      <c r="Y364">
        <f>IF(Table1[[#This Row],[hotwaterheating]]="yes", 1, 0)</f>
        <v>0</v>
      </c>
      <c r="Z364">
        <f>IF(Table1[[#This Row],[airconditioning]]="yes", 1, 0)</f>
        <v>0</v>
      </c>
      <c r="AA364">
        <v>0</v>
      </c>
      <c r="AB364">
        <f>IF(Table1[[#This Row],[prefarea]]= "yes", 1, 0)</f>
        <v>0</v>
      </c>
      <c r="AC364" s="1">
        <v>3710000</v>
      </c>
    </row>
    <row r="365" spans="1:29">
      <c r="A365">
        <v>3584</v>
      </c>
      <c r="B365" t="s">
        <v>16</v>
      </c>
      <c r="C365">
        <v>2</v>
      </c>
      <c r="D365">
        <v>1</v>
      </c>
      <c r="E365">
        <v>1</v>
      </c>
      <c r="F365" t="s">
        <v>13</v>
      </c>
      <c r="G365" t="s">
        <v>14</v>
      </c>
      <c r="H365" t="s">
        <v>14</v>
      </c>
      <c r="I365" t="s">
        <v>13</v>
      </c>
      <c r="J365" t="s">
        <v>14</v>
      </c>
      <c r="K365">
        <v>0</v>
      </c>
      <c r="L365" t="s">
        <v>14</v>
      </c>
      <c r="M365" s="1">
        <v>3710000</v>
      </c>
      <c r="P365">
        <v>3584</v>
      </c>
      <c r="Q365">
        <f>IF(Table1[[#This Row],[furnishingstatus]]="furnished", 1, 0)</f>
        <v>0</v>
      </c>
      <c r="R365">
        <f>IF(Table1[[#This Row],[furnishingstatus]]="semi-furnished", 1, 0)</f>
        <v>1</v>
      </c>
      <c r="S365">
        <v>2</v>
      </c>
      <c r="T365">
        <v>1</v>
      </c>
      <c r="U365">
        <v>1</v>
      </c>
      <c r="V365">
        <f>IF(Table1[[#This Row],[mainroad]] = "yes", 1, 0)</f>
        <v>1</v>
      </c>
      <c r="W365">
        <f>IF(Table1[[#This Row],[guestroom]]= "yes", 1, 0)</f>
        <v>0</v>
      </c>
      <c r="X365">
        <f>IF(Table1[[#This Row],[basement]]="yes", 1, 0)</f>
        <v>0</v>
      </c>
      <c r="Y365">
        <f>IF(Table1[[#This Row],[hotwaterheating]]="yes", 1, 0)</f>
        <v>1</v>
      </c>
      <c r="Z365">
        <f>IF(Table1[[#This Row],[airconditioning]]="yes", 1, 0)</f>
        <v>0</v>
      </c>
      <c r="AA365">
        <v>0</v>
      </c>
      <c r="AB365">
        <f>IF(Table1[[#This Row],[prefarea]]= "yes", 1, 0)</f>
        <v>0</v>
      </c>
      <c r="AC365" s="1">
        <v>3710000</v>
      </c>
    </row>
    <row r="366" spans="1:29">
      <c r="A366">
        <v>3120</v>
      </c>
      <c r="B366" t="s">
        <v>16</v>
      </c>
      <c r="C366">
        <v>3</v>
      </c>
      <c r="D366">
        <v>1</v>
      </c>
      <c r="E366">
        <v>2</v>
      </c>
      <c r="F366" t="s">
        <v>14</v>
      </c>
      <c r="G366" t="s">
        <v>14</v>
      </c>
      <c r="H366" t="s">
        <v>13</v>
      </c>
      <c r="I366" t="s">
        <v>13</v>
      </c>
      <c r="J366" t="s">
        <v>14</v>
      </c>
      <c r="K366">
        <v>0</v>
      </c>
      <c r="L366" t="s">
        <v>14</v>
      </c>
      <c r="M366" s="1">
        <v>3703000</v>
      </c>
      <c r="P366">
        <v>3120</v>
      </c>
      <c r="Q366">
        <f>IF(Table1[[#This Row],[furnishingstatus]]="furnished", 1, 0)</f>
        <v>0</v>
      </c>
      <c r="R366">
        <f>IF(Table1[[#This Row],[furnishingstatus]]="semi-furnished", 1, 0)</f>
        <v>1</v>
      </c>
      <c r="S366">
        <v>3</v>
      </c>
      <c r="T366">
        <v>1</v>
      </c>
      <c r="U366">
        <v>2</v>
      </c>
      <c r="V366">
        <f>IF(Table1[[#This Row],[mainroad]] = "yes", 1, 0)</f>
        <v>0</v>
      </c>
      <c r="W366">
        <f>IF(Table1[[#This Row],[guestroom]]= "yes", 1, 0)</f>
        <v>0</v>
      </c>
      <c r="X366">
        <f>IF(Table1[[#This Row],[basement]]="yes", 1, 0)</f>
        <v>1</v>
      </c>
      <c r="Y366">
        <f>IF(Table1[[#This Row],[hotwaterheating]]="yes", 1, 0)</f>
        <v>1</v>
      </c>
      <c r="Z366">
        <f>IF(Table1[[#This Row],[airconditioning]]="yes", 1, 0)</f>
        <v>0</v>
      </c>
      <c r="AA366">
        <v>0</v>
      </c>
      <c r="AB366">
        <f>IF(Table1[[#This Row],[prefarea]]= "yes", 1, 0)</f>
        <v>0</v>
      </c>
      <c r="AC366" s="1">
        <v>3703000</v>
      </c>
    </row>
    <row r="367" spans="1:29">
      <c r="A367">
        <v>5450</v>
      </c>
      <c r="B367" t="s">
        <v>15</v>
      </c>
      <c r="C367">
        <v>2</v>
      </c>
      <c r="D367">
        <v>1</v>
      </c>
      <c r="E367">
        <v>1</v>
      </c>
      <c r="F367" t="s">
        <v>13</v>
      </c>
      <c r="G367" t="s">
        <v>14</v>
      </c>
      <c r="H367" t="s">
        <v>14</v>
      </c>
      <c r="I367" t="s">
        <v>14</v>
      </c>
      <c r="J367" t="s">
        <v>14</v>
      </c>
      <c r="K367">
        <v>0</v>
      </c>
      <c r="L367" t="s">
        <v>14</v>
      </c>
      <c r="M367" s="1">
        <v>3703000</v>
      </c>
      <c r="P367">
        <v>5450</v>
      </c>
      <c r="Q367">
        <f>IF(Table1[[#This Row],[furnishingstatus]]="furnished", 1, 0)</f>
        <v>1</v>
      </c>
      <c r="R367">
        <f>IF(Table1[[#This Row],[furnishingstatus]]="semi-furnished", 1, 0)</f>
        <v>0</v>
      </c>
      <c r="S367">
        <v>2</v>
      </c>
      <c r="T367">
        <v>1</v>
      </c>
      <c r="U367">
        <v>1</v>
      </c>
      <c r="V367">
        <f>IF(Table1[[#This Row],[mainroad]] = "yes", 1, 0)</f>
        <v>1</v>
      </c>
      <c r="W367">
        <f>IF(Table1[[#This Row],[guestroom]]= "yes", 1, 0)</f>
        <v>0</v>
      </c>
      <c r="X367">
        <f>IF(Table1[[#This Row],[basement]]="yes", 1, 0)</f>
        <v>0</v>
      </c>
      <c r="Y367">
        <f>IF(Table1[[#This Row],[hotwaterheating]]="yes", 1, 0)</f>
        <v>0</v>
      </c>
      <c r="Z367">
        <f>IF(Table1[[#This Row],[airconditioning]]="yes", 1, 0)</f>
        <v>0</v>
      </c>
      <c r="AA367">
        <v>0</v>
      </c>
      <c r="AB367">
        <f>IF(Table1[[#This Row],[prefarea]]= "yes", 1, 0)</f>
        <v>0</v>
      </c>
      <c r="AC367" s="1">
        <v>3703000</v>
      </c>
    </row>
    <row r="368" spans="1:29">
      <c r="A368">
        <v>3630</v>
      </c>
      <c r="B368" t="s">
        <v>15</v>
      </c>
      <c r="C368">
        <v>2</v>
      </c>
      <c r="D368">
        <v>1</v>
      </c>
      <c r="E368">
        <v>1</v>
      </c>
      <c r="F368" t="s">
        <v>13</v>
      </c>
      <c r="G368" t="s">
        <v>14</v>
      </c>
      <c r="H368" t="s">
        <v>13</v>
      </c>
      <c r="I368" t="s">
        <v>14</v>
      </c>
      <c r="J368" t="s">
        <v>14</v>
      </c>
      <c r="K368">
        <v>0</v>
      </c>
      <c r="L368" t="s">
        <v>14</v>
      </c>
      <c r="M368" s="1">
        <v>3675000</v>
      </c>
      <c r="P368">
        <v>3630</v>
      </c>
      <c r="Q368">
        <f>IF(Table1[[#This Row],[furnishingstatus]]="furnished", 1, 0)</f>
        <v>1</v>
      </c>
      <c r="R368">
        <f>IF(Table1[[#This Row],[furnishingstatus]]="semi-furnished", 1, 0)</f>
        <v>0</v>
      </c>
      <c r="S368">
        <v>2</v>
      </c>
      <c r="T368">
        <v>1</v>
      </c>
      <c r="U368">
        <v>1</v>
      </c>
      <c r="V368">
        <f>IF(Table1[[#This Row],[mainroad]] = "yes", 1, 0)</f>
        <v>1</v>
      </c>
      <c r="W368">
        <f>IF(Table1[[#This Row],[guestroom]]= "yes", 1, 0)</f>
        <v>0</v>
      </c>
      <c r="X368">
        <f>IF(Table1[[#This Row],[basement]]="yes", 1, 0)</f>
        <v>1</v>
      </c>
      <c r="Y368">
        <f>IF(Table1[[#This Row],[hotwaterheating]]="yes", 1, 0)</f>
        <v>0</v>
      </c>
      <c r="Z368">
        <f>IF(Table1[[#This Row],[airconditioning]]="yes", 1, 0)</f>
        <v>0</v>
      </c>
      <c r="AA368">
        <v>0</v>
      </c>
      <c r="AB368">
        <f>IF(Table1[[#This Row],[prefarea]]= "yes", 1, 0)</f>
        <v>0</v>
      </c>
      <c r="AC368" s="1">
        <v>3675000</v>
      </c>
    </row>
    <row r="369" spans="1:29">
      <c r="A369">
        <v>3630</v>
      </c>
      <c r="B369" t="s">
        <v>17</v>
      </c>
      <c r="C369">
        <v>2</v>
      </c>
      <c r="D369">
        <v>1</v>
      </c>
      <c r="E369">
        <v>1</v>
      </c>
      <c r="F369" t="s">
        <v>13</v>
      </c>
      <c r="G369" t="s">
        <v>14</v>
      </c>
      <c r="H369" t="s">
        <v>14</v>
      </c>
      <c r="I369" t="s">
        <v>14</v>
      </c>
      <c r="J369" t="s">
        <v>13</v>
      </c>
      <c r="K369">
        <v>0</v>
      </c>
      <c r="L369" t="s">
        <v>14</v>
      </c>
      <c r="M369" s="1">
        <v>3675000</v>
      </c>
      <c r="P369">
        <v>3630</v>
      </c>
      <c r="Q369">
        <f>IF(Table1[[#This Row],[furnishingstatus]]="furnished", 1, 0)</f>
        <v>0</v>
      </c>
      <c r="R369">
        <f>IF(Table1[[#This Row],[furnishingstatus]]="semi-furnished", 1, 0)</f>
        <v>0</v>
      </c>
      <c r="S369">
        <v>2</v>
      </c>
      <c r="T369">
        <v>1</v>
      </c>
      <c r="U369">
        <v>1</v>
      </c>
      <c r="V369">
        <f>IF(Table1[[#This Row],[mainroad]] = "yes", 1, 0)</f>
        <v>1</v>
      </c>
      <c r="W369">
        <f>IF(Table1[[#This Row],[guestroom]]= "yes", 1, 0)</f>
        <v>0</v>
      </c>
      <c r="X369">
        <f>IF(Table1[[#This Row],[basement]]="yes", 1, 0)</f>
        <v>0</v>
      </c>
      <c r="Y369">
        <f>IF(Table1[[#This Row],[hotwaterheating]]="yes", 1, 0)</f>
        <v>0</v>
      </c>
      <c r="Z369">
        <f>IF(Table1[[#This Row],[airconditioning]]="yes", 1, 0)</f>
        <v>1</v>
      </c>
      <c r="AA369">
        <v>0</v>
      </c>
      <c r="AB369">
        <f>IF(Table1[[#This Row],[prefarea]]= "yes", 1, 0)</f>
        <v>0</v>
      </c>
      <c r="AC369" s="1">
        <v>3675000</v>
      </c>
    </row>
    <row r="370" spans="1:29">
      <c r="A370">
        <v>5640</v>
      </c>
      <c r="B370" t="s">
        <v>16</v>
      </c>
      <c r="C370">
        <v>2</v>
      </c>
      <c r="D370">
        <v>1</v>
      </c>
      <c r="E370">
        <v>1</v>
      </c>
      <c r="F370" t="s">
        <v>14</v>
      </c>
      <c r="G370" t="s">
        <v>14</v>
      </c>
      <c r="H370" t="s">
        <v>14</v>
      </c>
      <c r="I370" t="s">
        <v>14</v>
      </c>
      <c r="J370" t="s">
        <v>14</v>
      </c>
      <c r="K370">
        <v>0</v>
      </c>
      <c r="L370" t="s">
        <v>14</v>
      </c>
      <c r="M370" s="1">
        <v>3675000</v>
      </c>
      <c r="P370">
        <v>5640</v>
      </c>
      <c r="Q370">
        <f>IF(Table1[[#This Row],[furnishingstatus]]="furnished", 1, 0)</f>
        <v>0</v>
      </c>
      <c r="R370">
        <f>IF(Table1[[#This Row],[furnishingstatus]]="semi-furnished", 1, 0)</f>
        <v>1</v>
      </c>
      <c r="S370">
        <v>2</v>
      </c>
      <c r="T370">
        <v>1</v>
      </c>
      <c r="U370">
        <v>1</v>
      </c>
      <c r="V370">
        <f>IF(Table1[[#This Row],[mainroad]] = "yes", 1, 0)</f>
        <v>0</v>
      </c>
      <c r="W370">
        <f>IF(Table1[[#This Row],[guestroom]]= "yes", 1, 0)</f>
        <v>0</v>
      </c>
      <c r="X370">
        <f>IF(Table1[[#This Row],[basement]]="yes", 1, 0)</f>
        <v>0</v>
      </c>
      <c r="Y370">
        <f>IF(Table1[[#This Row],[hotwaterheating]]="yes", 1, 0)</f>
        <v>0</v>
      </c>
      <c r="Z370">
        <f>IF(Table1[[#This Row],[airconditioning]]="yes", 1, 0)</f>
        <v>0</v>
      </c>
      <c r="AA370">
        <v>0</v>
      </c>
      <c r="AB370">
        <f>IF(Table1[[#This Row],[prefarea]]= "yes", 1, 0)</f>
        <v>0</v>
      </c>
      <c r="AC370" s="1">
        <v>3675000</v>
      </c>
    </row>
    <row r="371" spans="1:29">
      <c r="A371">
        <v>3600</v>
      </c>
      <c r="B371" t="s">
        <v>15</v>
      </c>
      <c r="C371">
        <v>2</v>
      </c>
      <c r="D371">
        <v>1</v>
      </c>
      <c r="E371">
        <v>1</v>
      </c>
      <c r="F371" t="s">
        <v>13</v>
      </c>
      <c r="G371" t="s">
        <v>14</v>
      </c>
      <c r="H371" t="s">
        <v>14</v>
      </c>
      <c r="I371" t="s">
        <v>14</v>
      </c>
      <c r="J371" t="s">
        <v>14</v>
      </c>
      <c r="K371">
        <v>0</v>
      </c>
      <c r="L371" t="s">
        <v>14</v>
      </c>
      <c r="M371" s="1">
        <v>3675000</v>
      </c>
      <c r="P371">
        <v>3600</v>
      </c>
      <c r="Q371">
        <f>IF(Table1[[#This Row],[furnishingstatus]]="furnished", 1, 0)</f>
        <v>1</v>
      </c>
      <c r="R371">
        <f>IF(Table1[[#This Row],[furnishingstatus]]="semi-furnished", 1, 0)</f>
        <v>0</v>
      </c>
      <c r="S371">
        <v>2</v>
      </c>
      <c r="T371">
        <v>1</v>
      </c>
      <c r="U371">
        <v>1</v>
      </c>
      <c r="V371">
        <f>IF(Table1[[#This Row],[mainroad]] = "yes", 1, 0)</f>
        <v>1</v>
      </c>
      <c r="W371">
        <f>IF(Table1[[#This Row],[guestroom]]= "yes", 1, 0)</f>
        <v>0</v>
      </c>
      <c r="X371">
        <f>IF(Table1[[#This Row],[basement]]="yes", 1, 0)</f>
        <v>0</v>
      </c>
      <c r="Y371">
        <f>IF(Table1[[#This Row],[hotwaterheating]]="yes", 1, 0)</f>
        <v>0</v>
      </c>
      <c r="Z371">
        <f>IF(Table1[[#This Row],[airconditioning]]="yes", 1, 0)</f>
        <v>0</v>
      </c>
      <c r="AA371">
        <v>0</v>
      </c>
      <c r="AB371">
        <f>IF(Table1[[#This Row],[prefarea]]= "yes", 1, 0)</f>
        <v>0</v>
      </c>
      <c r="AC371" s="1">
        <v>3675000</v>
      </c>
    </row>
    <row r="372" spans="1:29">
      <c r="A372">
        <v>4280</v>
      </c>
      <c r="B372" t="s">
        <v>16</v>
      </c>
      <c r="C372">
        <v>2</v>
      </c>
      <c r="D372">
        <v>1</v>
      </c>
      <c r="E372">
        <v>1</v>
      </c>
      <c r="F372" t="s">
        <v>13</v>
      </c>
      <c r="G372" t="s">
        <v>14</v>
      </c>
      <c r="H372" t="s">
        <v>14</v>
      </c>
      <c r="I372" t="s">
        <v>14</v>
      </c>
      <c r="J372" t="s">
        <v>13</v>
      </c>
      <c r="K372">
        <v>2</v>
      </c>
      <c r="L372" t="s">
        <v>14</v>
      </c>
      <c r="M372" s="1">
        <v>3640000</v>
      </c>
      <c r="P372">
        <v>4280</v>
      </c>
      <c r="Q372">
        <f>IF(Table1[[#This Row],[furnishingstatus]]="furnished", 1, 0)</f>
        <v>0</v>
      </c>
      <c r="R372">
        <f>IF(Table1[[#This Row],[furnishingstatus]]="semi-furnished", 1, 0)</f>
        <v>1</v>
      </c>
      <c r="S372">
        <v>2</v>
      </c>
      <c r="T372">
        <v>1</v>
      </c>
      <c r="U372">
        <v>1</v>
      </c>
      <c r="V372">
        <f>IF(Table1[[#This Row],[mainroad]] = "yes", 1, 0)</f>
        <v>1</v>
      </c>
      <c r="W372">
        <f>IF(Table1[[#This Row],[guestroom]]= "yes", 1, 0)</f>
        <v>0</v>
      </c>
      <c r="X372">
        <f>IF(Table1[[#This Row],[basement]]="yes", 1, 0)</f>
        <v>0</v>
      </c>
      <c r="Y372">
        <f>IF(Table1[[#This Row],[hotwaterheating]]="yes", 1, 0)</f>
        <v>0</v>
      </c>
      <c r="Z372">
        <f>IF(Table1[[#This Row],[airconditioning]]="yes", 1, 0)</f>
        <v>1</v>
      </c>
      <c r="AA372">
        <v>2</v>
      </c>
      <c r="AB372">
        <f>IF(Table1[[#This Row],[prefarea]]= "yes", 1, 0)</f>
        <v>0</v>
      </c>
      <c r="AC372" s="1">
        <v>3640000</v>
      </c>
    </row>
    <row r="373" spans="1:29">
      <c r="A373">
        <v>3570</v>
      </c>
      <c r="B373" t="s">
        <v>16</v>
      </c>
      <c r="C373">
        <v>3</v>
      </c>
      <c r="D373">
        <v>1</v>
      </c>
      <c r="E373">
        <v>2</v>
      </c>
      <c r="F373" t="s">
        <v>13</v>
      </c>
      <c r="G373" t="s">
        <v>14</v>
      </c>
      <c r="H373" t="s">
        <v>13</v>
      </c>
      <c r="I373" t="s">
        <v>14</v>
      </c>
      <c r="J373" t="s">
        <v>14</v>
      </c>
      <c r="K373">
        <v>0</v>
      </c>
      <c r="L373" t="s">
        <v>14</v>
      </c>
      <c r="M373" s="1">
        <v>3640000</v>
      </c>
      <c r="P373">
        <v>3570</v>
      </c>
      <c r="Q373">
        <f>IF(Table1[[#This Row],[furnishingstatus]]="furnished", 1, 0)</f>
        <v>0</v>
      </c>
      <c r="R373">
        <f>IF(Table1[[#This Row],[furnishingstatus]]="semi-furnished", 1, 0)</f>
        <v>1</v>
      </c>
      <c r="S373">
        <v>3</v>
      </c>
      <c r="T373">
        <v>1</v>
      </c>
      <c r="U373">
        <v>2</v>
      </c>
      <c r="V373">
        <f>IF(Table1[[#This Row],[mainroad]] = "yes", 1, 0)</f>
        <v>1</v>
      </c>
      <c r="W373">
        <f>IF(Table1[[#This Row],[guestroom]]= "yes", 1, 0)</f>
        <v>0</v>
      </c>
      <c r="X373">
        <f>IF(Table1[[#This Row],[basement]]="yes", 1, 0)</f>
        <v>1</v>
      </c>
      <c r="Y373">
        <f>IF(Table1[[#This Row],[hotwaterheating]]="yes", 1, 0)</f>
        <v>0</v>
      </c>
      <c r="Z373">
        <f>IF(Table1[[#This Row],[airconditioning]]="yes", 1, 0)</f>
        <v>0</v>
      </c>
      <c r="AA373">
        <v>0</v>
      </c>
      <c r="AB373">
        <f>IF(Table1[[#This Row],[prefarea]]= "yes", 1, 0)</f>
        <v>0</v>
      </c>
      <c r="AC373" s="1">
        <v>3640000</v>
      </c>
    </row>
    <row r="374" spans="1:29">
      <c r="A374">
        <v>3180</v>
      </c>
      <c r="B374" t="s">
        <v>16</v>
      </c>
      <c r="C374">
        <v>3</v>
      </c>
      <c r="D374">
        <v>1</v>
      </c>
      <c r="E374">
        <v>2</v>
      </c>
      <c r="F374" t="s">
        <v>14</v>
      </c>
      <c r="G374" t="s">
        <v>14</v>
      </c>
      <c r="H374" t="s">
        <v>13</v>
      </c>
      <c r="I374" t="s">
        <v>14</v>
      </c>
      <c r="J374" t="s">
        <v>14</v>
      </c>
      <c r="K374">
        <v>0</v>
      </c>
      <c r="L374" t="s">
        <v>14</v>
      </c>
      <c r="M374" s="1">
        <v>3640000</v>
      </c>
      <c r="P374">
        <v>3180</v>
      </c>
      <c r="Q374">
        <f>IF(Table1[[#This Row],[furnishingstatus]]="furnished", 1, 0)</f>
        <v>0</v>
      </c>
      <c r="R374">
        <f>IF(Table1[[#This Row],[furnishingstatus]]="semi-furnished", 1, 0)</f>
        <v>1</v>
      </c>
      <c r="S374">
        <v>3</v>
      </c>
      <c r="T374">
        <v>1</v>
      </c>
      <c r="U374">
        <v>2</v>
      </c>
      <c r="V374">
        <f>IF(Table1[[#This Row],[mainroad]] = "yes", 1, 0)</f>
        <v>0</v>
      </c>
      <c r="W374">
        <f>IF(Table1[[#This Row],[guestroom]]= "yes", 1, 0)</f>
        <v>0</v>
      </c>
      <c r="X374">
        <f>IF(Table1[[#This Row],[basement]]="yes", 1, 0)</f>
        <v>1</v>
      </c>
      <c r="Y374">
        <f>IF(Table1[[#This Row],[hotwaterheating]]="yes", 1, 0)</f>
        <v>0</v>
      </c>
      <c r="Z374">
        <f>IF(Table1[[#This Row],[airconditioning]]="yes", 1, 0)</f>
        <v>0</v>
      </c>
      <c r="AA374">
        <v>0</v>
      </c>
      <c r="AB374">
        <f>IF(Table1[[#This Row],[prefarea]]= "yes", 1, 0)</f>
        <v>0</v>
      </c>
      <c r="AC374" s="1">
        <v>3640000</v>
      </c>
    </row>
    <row r="375" spans="1:29">
      <c r="A375">
        <v>3000</v>
      </c>
      <c r="B375" t="s">
        <v>15</v>
      </c>
      <c r="C375">
        <v>2</v>
      </c>
      <c r="D375">
        <v>1</v>
      </c>
      <c r="E375">
        <v>2</v>
      </c>
      <c r="F375" t="s">
        <v>13</v>
      </c>
      <c r="G375" t="s">
        <v>14</v>
      </c>
      <c r="H375" t="s">
        <v>14</v>
      </c>
      <c r="I375" t="s">
        <v>14</v>
      </c>
      <c r="J375" t="s">
        <v>13</v>
      </c>
      <c r="K375">
        <v>0</v>
      </c>
      <c r="L375" t="s">
        <v>14</v>
      </c>
      <c r="M375" s="1">
        <v>3640000</v>
      </c>
      <c r="P375">
        <v>3000</v>
      </c>
      <c r="Q375">
        <f>IF(Table1[[#This Row],[furnishingstatus]]="furnished", 1, 0)</f>
        <v>1</v>
      </c>
      <c r="R375">
        <f>IF(Table1[[#This Row],[furnishingstatus]]="semi-furnished", 1, 0)</f>
        <v>0</v>
      </c>
      <c r="S375">
        <v>2</v>
      </c>
      <c r="T375">
        <v>1</v>
      </c>
      <c r="U375">
        <v>2</v>
      </c>
      <c r="V375">
        <f>IF(Table1[[#This Row],[mainroad]] = "yes", 1, 0)</f>
        <v>1</v>
      </c>
      <c r="W375">
        <f>IF(Table1[[#This Row],[guestroom]]= "yes", 1, 0)</f>
        <v>0</v>
      </c>
      <c r="X375">
        <f>IF(Table1[[#This Row],[basement]]="yes", 1, 0)</f>
        <v>0</v>
      </c>
      <c r="Y375">
        <f>IF(Table1[[#This Row],[hotwaterheating]]="yes", 1, 0)</f>
        <v>0</v>
      </c>
      <c r="Z375">
        <f>IF(Table1[[#This Row],[airconditioning]]="yes", 1, 0)</f>
        <v>1</v>
      </c>
      <c r="AA375">
        <v>0</v>
      </c>
      <c r="AB375">
        <f>IF(Table1[[#This Row],[prefarea]]= "yes", 1, 0)</f>
        <v>0</v>
      </c>
      <c r="AC375" s="1">
        <v>3640000</v>
      </c>
    </row>
    <row r="376" spans="1:29">
      <c r="A376">
        <v>3520</v>
      </c>
      <c r="B376" t="s">
        <v>16</v>
      </c>
      <c r="C376">
        <v>2</v>
      </c>
      <c r="D376">
        <v>2</v>
      </c>
      <c r="E376">
        <v>1</v>
      </c>
      <c r="F376" t="s">
        <v>13</v>
      </c>
      <c r="G376" t="s">
        <v>14</v>
      </c>
      <c r="H376" t="s">
        <v>13</v>
      </c>
      <c r="I376" t="s">
        <v>14</v>
      </c>
      <c r="J376" t="s">
        <v>14</v>
      </c>
      <c r="K376">
        <v>0</v>
      </c>
      <c r="L376" t="s">
        <v>14</v>
      </c>
      <c r="M376" s="1">
        <v>3640000</v>
      </c>
      <c r="P376">
        <v>3520</v>
      </c>
      <c r="Q376">
        <f>IF(Table1[[#This Row],[furnishingstatus]]="furnished", 1, 0)</f>
        <v>0</v>
      </c>
      <c r="R376">
        <f>IF(Table1[[#This Row],[furnishingstatus]]="semi-furnished", 1, 0)</f>
        <v>1</v>
      </c>
      <c r="S376">
        <v>2</v>
      </c>
      <c r="T376">
        <v>2</v>
      </c>
      <c r="U376">
        <v>1</v>
      </c>
      <c r="V376">
        <f>IF(Table1[[#This Row],[mainroad]] = "yes", 1, 0)</f>
        <v>1</v>
      </c>
      <c r="W376">
        <f>IF(Table1[[#This Row],[guestroom]]= "yes", 1, 0)</f>
        <v>0</v>
      </c>
      <c r="X376">
        <f>IF(Table1[[#This Row],[basement]]="yes", 1, 0)</f>
        <v>1</v>
      </c>
      <c r="Y376">
        <f>IF(Table1[[#This Row],[hotwaterheating]]="yes", 1, 0)</f>
        <v>0</v>
      </c>
      <c r="Z376">
        <f>IF(Table1[[#This Row],[airconditioning]]="yes", 1, 0)</f>
        <v>0</v>
      </c>
      <c r="AA376">
        <v>0</v>
      </c>
      <c r="AB376">
        <f>IF(Table1[[#This Row],[prefarea]]= "yes", 1, 0)</f>
        <v>0</v>
      </c>
      <c r="AC376" s="1">
        <v>3640000</v>
      </c>
    </row>
    <row r="377" spans="1:29">
      <c r="A377">
        <v>5960</v>
      </c>
      <c r="B377" t="s">
        <v>17</v>
      </c>
      <c r="C377">
        <v>3</v>
      </c>
      <c r="D377">
        <v>1</v>
      </c>
      <c r="E377">
        <v>2</v>
      </c>
      <c r="F377" t="s">
        <v>13</v>
      </c>
      <c r="G377" t="s">
        <v>13</v>
      </c>
      <c r="H377" t="s">
        <v>13</v>
      </c>
      <c r="I377" t="s">
        <v>14</v>
      </c>
      <c r="J377" t="s">
        <v>14</v>
      </c>
      <c r="K377">
        <v>0</v>
      </c>
      <c r="L377" t="s">
        <v>14</v>
      </c>
      <c r="M377" s="1">
        <v>3640000</v>
      </c>
      <c r="P377">
        <v>5960</v>
      </c>
      <c r="Q377">
        <f>IF(Table1[[#This Row],[furnishingstatus]]="furnished", 1, 0)</f>
        <v>0</v>
      </c>
      <c r="R377">
        <f>IF(Table1[[#This Row],[furnishingstatus]]="semi-furnished", 1, 0)</f>
        <v>0</v>
      </c>
      <c r="S377">
        <v>3</v>
      </c>
      <c r="T377">
        <v>1</v>
      </c>
      <c r="U377">
        <v>2</v>
      </c>
      <c r="V377">
        <f>IF(Table1[[#This Row],[mainroad]] = "yes", 1, 0)</f>
        <v>1</v>
      </c>
      <c r="W377">
        <f>IF(Table1[[#This Row],[guestroom]]= "yes", 1, 0)</f>
        <v>1</v>
      </c>
      <c r="X377">
        <f>IF(Table1[[#This Row],[basement]]="yes", 1, 0)</f>
        <v>1</v>
      </c>
      <c r="Y377">
        <f>IF(Table1[[#This Row],[hotwaterheating]]="yes", 1, 0)</f>
        <v>0</v>
      </c>
      <c r="Z377">
        <f>IF(Table1[[#This Row],[airconditioning]]="yes", 1, 0)</f>
        <v>0</v>
      </c>
      <c r="AA377">
        <v>0</v>
      </c>
      <c r="AB377">
        <f>IF(Table1[[#This Row],[prefarea]]= "yes", 1, 0)</f>
        <v>0</v>
      </c>
      <c r="AC377" s="1">
        <v>3640000</v>
      </c>
    </row>
    <row r="378" spans="1:29">
      <c r="A378">
        <v>4130</v>
      </c>
      <c r="B378" t="s">
        <v>16</v>
      </c>
      <c r="C378">
        <v>3</v>
      </c>
      <c r="D378">
        <v>2</v>
      </c>
      <c r="E378">
        <v>2</v>
      </c>
      <c r="F378" t="s">
        <v>13</v>
      </c>
      <c r="G378" t="s">
        <v>14</v>
      </c>
      <c r="H378" t="s">
        <v>14</v>
      </c>
      <c r="I378" t="s">
        <v>14</v>
      </c>
      <c r="J378" t="s">
        <v>14</v>
      </c>
      <c r="K378">
        <v>2</v>
      </c>
      <c r="L378" t="s">
        <v>14</v>
      </c>
      <c r="M378" s="1">
        <v>3640000</v>
      </c>
      <c r="P378">
        <v>4130</v>
      </c>
      <c r="Q378">
        <f>IF(Table1[[#This Row],[furnishingstatus]]="furnished", 1, 0)</f>
        <v>0</v>
      </c>
      <c r="R378">
        <f>IF(Table1[[#This Row],[furnishingstatus]]="semi-furnished", 1, 0)</f>
        <v>1</v>
      </c>
      <c r="S378">
        <v>3</v>
      </c>
      <c r="T378">
        <v>2</v>
      </c>
      <c r="U378">
        <v>2</v>
      </c>
      <c r="V378">
        <f>IF(Table1[[#This Row],[mainroad]] = "yes", 1, 0)</f>
        <v>1</v>
      </c>
      <c r="W378">
        <f>IF(Table1[[#This Row],[guestroom]]= "yes", 1, 0)</f>
        <v>0</v>
      </c>
      <c r="X378">
        <f>IF(Table1[[#This Row],[basement]]="yes", 1, 0)</f>
        <v>0</v>
      </c>
      <c r="Y378">
        <f>IF(Table1[[#This Row],[hotwaterheating]]="yes", 1, 0)</f>
        <v>0</v>
      </c>
      <c r="Z378">
        <f>IF(Table1[[#This Row],[airconditioning]]="yes", 1, 0)</f>
        <v>0</v>
      </c>
      <c r="AA378">
        <v>2</v>
      </c>
      <c r="AB378">
        <f>IF(Table1[[#This Row],[prefarea]]= "yes", 1, 0)</f>
        <v>0</v>
      </c>
      <c r="AC378" s="1">
        <v>3640000</v>
      </c>
    </row>
    <row r="379" spans="1:29">
      <c r="A379">
        <v>2850</v>
      </c>
      <c r="B379" t="s">
        <v>17</v>
      </c>
      <c r="C379">
        <v>3</v>
      </c>
      <c r="D379">
        <v>2</v>
      </c>
      <c r="E379">
        <v>2</v>
      </c>
      <c r="F379" t="s">
        <v>14</v>
      </c>
      <c r="G379" t="s">
        <v>14</v>
      </c>
      <c r="H379" t="s">
        <v>13</v>
      </c>
      <c r="I379" t="s">
        <v>14</v>
      </c>
      <c r="J379" t="s">
        <v>14</v>
      </c>
      <c r="K379">
        <v>0</v>
      </c>
      <c r="L379" t="s">
        <v>13</v>
      </c>
      <c r="M379" s="1">
        <v>3640000</v>
      </c>
      <c r="P379">
        <v>2850</v>
      </c>
      <c r="Q379">
        <f>IF(Table1[[#This Row],[furnishingstatus]]="furnished", 1, 0)</f>
        <v>0</v>
      </c>
      <c r="R379">
        <f>IF(Table1[[#This Row],[furnishingstatus]]="semi-furnished", 1, 0)</f>
        <v>0</v>
      </c>
      <c r="S379">
        <v>3</v>
      </c>
      <c r="T379">
        <v>2</v>
      </c>
      <c r="U379">
        <v>2</v>
      </c>
      <c r="V379">
        <f>IF(Table1[[#This Row],[mainroad]] = "yes", 1, 0)</f>
        <v>0</v>
      </c>
      <c r="W379">
        <f>IF(Table1[[#This Row],[guestroom]]= "yes", 1, 0)</f>
        <v>0</v>
      </c>
      <c r="X379">
        <f>IF(Table1[[#This Row],[basement]]="yes", 1, 0)</f>
        <v>1</v>
      </c>
      <c r="Y379">
        <f>IF(Table1[[#This Row],[hotwaterheating]]="yes", 1, 0)</f>
        <v>0</v>
      </c>
      <c r="Z379">
        <f>IF(Table1[[#This Row],[airconditioning]]="yes", 1, 0)</f>
        <v>0</v>
      </c>
      <c r="AA379">
        <v>0</v>
      </c>
      <c r="AB379">
        <f>IF(Table1[[#This Row],[prefarea]]= "yes", 1, 0)</f>
        <v>1</v>
      </c>
      <c r="AC379" s="1">
        <v>3640000</v>
      </c>
    </row>
    <row r="380" spans="1:29">
      <c r="A380">
        <v>2275</v>
      </c>
      <c r="B380" t="s">
        <v>16</v>
      </c>
      <c r="C380">
        <v>3</v>
      </c>
      <c r="D380">
        <v>1</v>
      </c>
      <c r="E380">
        <v>3</v>
      </c>
      <c r="F380" t="s">
        <v>13</v>
      </c>
      <c r="G380" t="s">
        <v>14</v>
      </c>
      <c r="H380" t="s">
        <v>14</v>
      </c>
      <c r="I380" t="s">
        <v>13</v>
      </c>
      <c r="J380" t="s">
        <v>13</v>
      </c>
      <c r="K380">
        <v>0</v>
      </c>
      <c r="L380" t="s">
        <v>13</v>
      </c>
      <c r="M380" s="1">
        <v>3640000</v>
      </c>
      <c r="P380">
        <v>2275</v>
      </c>
      <c r="Q380">
        <f>IF(Table1[[#This Row],[furnishingstatus]]="furnished", 1, 0)</f>
        <v>0</v>
      </c>
      <c r="R380">
        <f>IF(Table1[[#This Row],[furnishingstatus]]="semi-furnished", 1, 0)</f>
        <v>1</v>
      </c>
      <c r="S380">
        <v>3</v>
      </c>
      <c r="T380">
        <v>1</v>
      </c>
      <c r="U380">
        <v>3</v>
      </c>
      <c r="V380">
        <f>IF(Table1[[#This Row],[mainroad]] = "yes", 1, 0)</f>
        <v>1</v>
      </c>
      <c r="W380">
        <f>IF(Table1[[#This Row],[guestroom]]= "yes", 1, 0)</f>
        <v>0</v>
      </c>
      <c r="X380">
        <f>IF(Table1[[#This Row],[basement]]="yes", 1, 0)</f>
        <v>0</v>
      </c>
      <c r="Y380">
        <f>IF(Table1[[#This Row],[hotwaterheating]]="yes", 1, 0)</f>
        <v>1</v>
      </c>
      <c r="Z380">
        <f>IF(Table1[[#This Row],[airconditioning]]="yes", 1, 0)</f>
        <v>1</v>
      </c>
      <c r="AA380">
        <v>0</v>
      </c>
      <c r="AB380">
        <f>IF(Table1[[#This Row],[prefarea]]= "yes", 1, 0)</f>
        <v>1</v>
      </c>
      <c r="AC380" s="1">
        <v>3640000</v>
      </c>
    </row>
    <row r="381" spans="1:29">
      <c r="A381">
        <v>3520</v>
      </c>
      <c r="B381" t="s">
        <v>17</v>
      </c>
      <c r="C381">
        <v>3</v>
      </c>
      <c r="D381">
        <v>1</v>
      </c>
      <c r="E381">
        <v>1</v>
      </c>
      <c r="F381" t="s">
        <v>13</v>
      </c>
      <c r="G381" t="s">
        <v>14</v>
      </c>
      <c r="H381" t="s">
        <v>14</v>
      </c>
      <c r="I381" t="s">
        <v>14</v>
      </c>
      <c r="J381" t="s">
        <v>14</v>
      </c>
      <c r="K381">
        <v>2</v>
      </c>
      <c r="L381" t="s">
        <v>13</v>
      </c>
      <c r="M381" s="1">
        <v>3633000</v>
      </c>
      <c r="P381">
        <v>3520</v>
      </c>
      <c r="Q381">
        <f>IF(Table1[[#This Row],[furnishingstatus]]="furnished", 1, 0)</f>
        <v>0</v>
      </c>
      <c r="R381">
        <f>IF(Table1[[#This Row],[furnishingstatus]]="semi-furnished", 1, 0)</f>
        <v>0</v>
      </c>
      <c r="S381">
        <v>3</v>
      </c>
      <c r="T381">
        <v>1</v>
      </c>
      <c r="U381">
        <v>1</v>
      </c>
      <c r="V381">
        <f>IF(Table1[[#This Row],[mainroad]] = "yes", 1, 0)</f>
        <v>1</v>
      </c>
      <c r="W381">
        <f>IF(Table1[[#This Row],[guestroom]]= "yes", 1, 0)</f>
        <v>0</v>
      </c>
      <c r="X381">
        <f>IF(Table1[[#This Row],[basement]]="yes", 1, 0)</f>
        <v>0</v>
      </c>
      <c r="Y381">
        <f>IF(Table1[[#This Row],[hotwaterheating]]="yes", 1, 0)</f>
        <v>0</v>
      </c>
      <c r="Z381">
        <f>IF(Table1[[#This Row],[airconditioning]]="yes", 1, 0)</f>
        <v>0</v>
      </c>
      <c r="AA381">
        <v>2</v>
      </c>
      <c r="AB381">
        <f>IF(Table1[[#This Row],[prefarea]]= "yes", 1, 0)</f>
        <v>1</v>
      </c>
      <c r="AC381" s="1">
        <v>3633000</v>
      </c>
    </row>
    <row r="382" spans="1:29">
      <c r="A382">
        <v>4500</v>
      </c>
      <c r="B382" t="s">
        <v>16</v>
      </c>
      <c r="C382">
        <v>2</v>
      </c>
      <c r="D382">
        <v>1</v>
      </c>
      <c r="E382">
        <v>1</v>
      </c>
      <c r="F382" t="s">
        <v>13</v>
      </c>
      <c r="G382" t="s">
        <v>14</v>
      </c>
      <c r="H382" t="s">
        <v>14</v>
      </c>
      <c r="I382" t="s">
        <v>14</v>
      </c>
      <c r="J382" t="s">
        <v>14</v>
      </c>
      <c r="K382">
        <v>0</v>
      </c>
      <c r="L382" t="s">
        <v>14</v>
      </c>
      <c r="M382" s="1">
        <v>3605000</v>
      </c>
      <c r="P382">
        <v>4500</v>
      </c>
      <c r="Q382">
        <f>IF(Table1[[#This Row],[furnishingstatus]]="furnished", 1, 0)</f>
        <v>0</v>
      </c>
      <c r="R382">
        <f>IF(Table1[[#This Row],[furnishingstatus]]="semi-furnished", 1, 0)</f>
        <v>1</v>
      </c>
      <c r="S382">
        <v>2</v>
      </c>
      <c r="T382">
        <v>1</v>
      </c>
      <c r="U382">
        <v>1</v>
      </c>
      <c r="V382">
        <f>IF(Table1[[#This Row],[mainroad]] = "yes", 1, 0)</f>
        <v>1</v>
      </c>
      <c r="W382">
        <f>IF(Table1[[#This Row],[guestroom]]= "yes", 1, 0)</f>
        <v>0</v>
      </c>
      <c r="X382">
        <f>IF(Table1[[#This Row],[basement]]="yes", 1, 0)</f>
        <v>0</v>
      </c>
      <c r="Y382">
        <f>IF(Table1[[#This Row],[hotwaterheating]]="yes", 1, 0)</f>
        <v>0</v>
      </c>
      <c r="Z382">
        <f>IF(Table1[[#This Row],[airconditioning]]="yes", 1, 0)</f>
        <v>0</v>
      </c>
      <c r="AA382">
        <v>0</v>
      </c>
      <c r="AB382">
        <f>IF(Table1[[#This Row],[prefarea]]= "yes", 1, 0)</f>
        <v>0</v>
      </c>
      <c r="AC382" s="1">
        <v>3605000</v>
      </c>
    </row>
    <row r="383" spans="1:29">
      <c r="A383">
        <v>4000</v>
      </c>
      <c r="B383" t="s">
        <v>16</v>
      </c>
      <c r="C383">
        <v>2</v>
      </c>
      <c r="D383">
        <v>1</v>
      </c>
      <c r="E383">
        <v>1</v>
      </c>
      <c r="F383" t="s">
        <v>13</v>
      </c>
      <c r="G383" t="s">
        <v>14</v>
      </c>
      <c r="H383" t="s">
        <v>14</v>
      </c>
      <c r="I383" t="s">
        <v>14</v>
      </c>
      <c r="J383" t="s">
        <v>14</v>
      </c>
      <c r="K383">
        <v>0</v>
      </c>
      <c r="L383" t="s">
        <v>13</v>
      </c>
      <c r="M383" s="1">
        <v>3605000</v>
      </c>
      <c r="P383">
        <v>4000</v>
      </c>
      <c r="Q383">
        <f>IF(Table1[[#This Row],[furnishingstatus]]="furnished", 1, 0)</f>
        <v>0</v>
      </c>
      <c r="R383">
        <f>IF(Table1[[#This Row],[furnishingstatus]]="semi-furnished", 1, 0)</f>
        <v>1</v>
      </c>
      <c r="S383">
        <v>2</v>
      </c>
      <c r="T383">
        <v>1</v>
      </c>
      <c r="U383">
        <v>1</v>
      </c>
      <c r="V383">
        <f>IF(Table1[[#This Row],[mainroad]] = "yes", 1, 0)</f>
        <v>1</v>
      </c>
      <c r="W383">
        <f>IF(Table1[[#This Row],[guestroom]]= "yes", 1, 0)</f>
        <v>0</v>
      </c>
      <c r="X383">
        <f>IF(Table1[[#This Row],[basement]]="yes", 1, 0)</f>
        <v>0</v>
      </c>
      <c r="Y383">
        <f>IF(Table1[[#This Row],[hotwaterheating]]="yes", 1, 0)</f>
        <v>0</v>
      </c>
      <c r="Z383">
        <f>IF(Table1[[#This Row],[airconditioning]]="yes", 1, 0)</f>
        <v>0</v>
      </c>
      <c r="AA383">
        <v>0</v>
      </c>
      <c r="AB383">
        <f>IF(Table1[[#This Row],[prefarea]]= "yes", 1, 0)</f>
        <v>1</v>
      </c>
      <c r="AC383" s="1">
        <v>3605000</v>
      </c>
    </row>
    <row r="384" spans="1:29">
      <c r="A384">
        <v>3150</v>
      </c>
      <c r="B384" t="s">
        <v>15</v>
      </c>
      <c r="C384">
        <v>3</v>
      </c>
      <c r="D384">
        <v>1</v>
      </c>
      <c r="E384">
        <v>2</v>
      </c>
      <c r="F384" t="s">
        <v>13</v>
      </c>
      <c r="G384" t="s">
        <v>14</v>
      </c>
      <c r="H384" t="s">
        <v>13</v>
      </c>
      <c r="I384" t="s">
        <v>14</v>
      </c>
      <c r="J384" t="s">
        <v>14</v>
      </c>
      <c r="K384">
        <v>0</v>
      </c>
      <c r="L384" t="s">
        <v>14</v>
      </c>
      <c r="M384" s="1">
        <v>3570000</v>
      </c>
      <c r="P384">
        <v>3150</v>
      </c>
      <c r="Q384">
        <f>IF(Table1[[#This Row],[furnishingstatus]]="furnished", 1, 0)</f>
        <v>1</v>
      </c>
      <c r="R384">
        <f>IF(Table1[[#This Row],[furnishingstatus]]="semi-furnished", 1, 0)</f>
        <v>0</v>
      </c>
      <c r="S384">
        <v>3</v>
      </c>
      <c r="T384">
        <v>1</v>
      </c>
      <c r="U384">
        <v>2</v>
      </c>
      <c r="V384">
        <f>IF(Table1[[#This Row],[mainroad]] = "yes", 1, 0)</f>
        <v>1</v>
      </c>
      <c r="W384">
        <f>IF(Table1[[#This Row],[guestroom]]= "yes", 1, 0)</f>
        <v>0</v>
      </c>
      <c r="X384">
        <f>IF(Table1[[#This Row],[basement]]="yes", 1, 0)</f>
        <v>1</v>
      </c>
      <c r="Y384">
        <f>IF(Table1[[#This Row],[hotwaterheating]]="yes", 1, 0)</f>
        <v>0</v>
      </c>
      <c r="Z384">
        <f>IF(Table1[[#This Row],[airconditioning]]="yes", 1, 0)</f>
        <v>0</v>
      </c>
      <c r="AA384">
        <v>0</v>
      </c>
      <c r="AB384">
        <f>IF(Table1[[#This Row],[prefarea]]= "yes", 1, 0)</f>
        <v>0</v>
      </c>
      <c r="AC384" s="1">
        <v>3570000</v>
      </c>
    </row>
    <row r="385" spans="1:29">
      <c r="A385">
        <v>4500</v>
      </c>
      <c r="B385" t="s">
        <v>15</v>
      </c>
      <c r="C385">
        <v>4</v>
      </c>
      <c r="D385">
        <v>2</v>
      </c>
      <c r="E385">
        <v>2</v>
      </c>
      <c r="F385" t="s">
        <v>13</v>
      </c>
      <c r="G385" t="s">
        <v>14</v>
      </c>
      <c r="H385" t="s">
        <v>13</v>
      </c>
      <c r="I385" t="s">
        <v>14</v>
      </c>
      <c r="J385" t="s">
        <v>14</v>
      </c>
      <c r="K385">
        <v>2</v>
      </c>
      <c r="L385" t="s">
        <v>14</v>
      </c>
      <c r="M385" s="1">
        <v>3570000</v>
      </c>
      <c r="P385">
        <v>4500</v>
      </c>
      <c r="Q385">
        <f>IF(Table1[[#This Row],[furnishingstatus]]="furnished", 1, 0)</f>
        <v>1</v>
      </c>
      <c r="R385">
        <f>IF(Table1[[#This Row],[furnishingstatus]]="semi-furnished", 1, 0)</f>
        <v>0</v>
      </c>
      <c r="S385">
        <v>4</v>
      </c>
      <c r="T385">
        <v>2</v>
      </c>
      <c r="U385">
        <v>2</v>
      </c>
      <c r="V385">
        <f>IF(Table1[[#This Row],[mainroad]] = "yes", 1, 0)</f>
        <v>1</v>
      </c>
      <c r="W385">
        <f>IF(Table1[[#This Row],[guestroom]]= "yes", 1, 0)</f>
        <v>0</v>
      </c>
      <c r="X385">
        <f>IF(Table1[[#This Row],[basement]]="yes", 1, 0)</f>
        <v>1</v>
      </c>
      <c r="Y385">
        <f>IF(Table1[[#This Row],[hotwaterheating]]="yes", 1, 0)</f>
        <v>0</v>
      </c>
      <c r="Z385">
        <f>IF(Table1[[#This Row],[airconditioning]]="yes", 1, 0)</f>
        <v>0</v>
      </c>
      <c r="AA385">
        <v>2</v>
      </c>
      <c r="AB385">
        <f>IF(Table1[[#This Row],[prefarea]]= "yes", 1, 0)</f>
        <v>0</v>
      </c>
      <c r="AC385" s="1">
        <v>3570000</v>
      </c>
    </row>
    <row r="386" spans="1:29">
      <c r="A386">
        <v>4500</v>
      </c>
      <c r="B386" t="s">
        <v>15</v>
      </c>
      <c r="C386">
        <v>2</v>
      </c>
      <c r="D386">
        <v>1</v>
      </c>
      <c r="E386">
        <v>1</v>
      </c>
      <c r="F386" t="s">
        <v>14</v>
      </c>
      <c r="G386" t="s">
        <v>14</v>
      </c>
      <c r="H386" t="s">
        <v>14</v>
      </c>
      <c r="I386" t="s">
        <v>14</v>
      </c>
      <c r="J386" t="s">
        <v>14</v>
      </c>
      <c r="K386">
        <v>0</v>
      </c>
      <c r="L386" t="s">
        <v>14</v>
      </c>
      <c r="M386" s="1">
        <v>3570000</v>
      </c>
      <c r="P386">
        <v>4500</v>
      </c>
      <c r="Q386">
        <f>IF(Table1[[#This Row],[furnishingstatus]]="furnished", 1, 0)</f>
        <v>1</v>
      </c>
      <c r="R386">
        <f>IF(Table1[[#This Row],[furnishingstatus]]="semi-furnished", 1, 0)</f>
        <v>0</v>
      </c>
      <c r="S386">
        <v>2</v>
      </c>
      <c r="T386">
        <v>1</v>
      </c>
      <c r="U386">
        <v>1</v>
      </c>
      <c r="V386">
        <f>IF(Table1[[#This Row],[mainroad]] = "yes", 1, 0)</f>
        <v>0</v>
      </c>
      <c r="W386">
        <f>IF(Table1[[#This Row],[guestroom]]= "yes", 1, 0)</f>
        <v>0</v>
      </c>
      <c r="X386">
        <f>IF(Table1[[#This Row],[basement]]="yes", 1, 0)</f>
        <v>0</v>
      </c>
      <c r="Y386">
        <f>IF(Table1[[#This Row],[hotwaterheating]]="yes", 1, 0)</f>
        <v>0</v>
      </c>
      <c r="Z386">
        <f>IF(Table1[[#This Row],[airconditioning]]="yes", 1, 0)</f>
        <v>0</v>
      </c>
      <c r="AA386">
        <v>0</v>
      </c>
      <c r="AB386">
        <f>IF(Table1[[#This Row],[prefarea]]= "yes", 1, 0)</f>
        <v>0</v>
      </c>
      <c r="AC386" s="1">
        <v>3570000</v>
      </c>
    </row>
    <row r="387" spans="1:29">
      <c r="A387">
        <v>3640</v>
      </c>
      <c r="B387" t="s">
        <v>17</v>
      </c>
      <c r="C387">
        <v>2</v>
      </c>
      <c r="D387">
        <v>1</v>
      </c>
      <c r="E387">
        <v>1</v>
      </c>
      <c r="F387" t="s">
        <v>13</v>
      </c>
      <c r="G387" t="s">
        <v>14</v>
      </c>
      <c r="H387" t="s">
        <v>14</v>
      </c>
      <c r="I387" t="s">
        <v>14</v>
      </c>
      <c r="J387" t="s">
        <v>14</v>
      </c>
      <c r="K387">
        <v>0</v>
      </c>
      <c r="L387" t="s">
        <v>14</v>
      </c>
      <c r="M387" s="1">
        <v>3570000</v>
      </c>
      <c r="P387">
        <v>3640</v>
      </c>
      <c r="Q387">
        <f>IF(Table1[[#This Row],[furnishingstatus]]="furnished", 1, 0)</f>
        <v>0</v>
      </c>
      <c r="R387">
        <f>IF(Table1[[#This Row],[furnishingstatus]]="semi-furnished", 1, 0)</f>
        <v>0</v>
      </c>
      <c r="S387">
        <v>2</v>
      </c>
      <c r="T387">
        <v>1</v>
      </c>
      <c r="U387">
        <v>1</v>
      </c>
      <c r="V387">
        <f>IF(Table1[[#This Row],[mainroad]] = "yes", 1, 0)</f>
        <v>1</v>
      </c>
      <c r="W387">
        <f>IF(Table1[[#This Row],[guestroom]]= "yes", 1, 0)</f>
        <v>0</v>
      </c>
      <c r="X387">
        <f>IF(Table1[[#This Row],[basement]]="yes", 1, 0)</f>
        <v>0</v>
      </c>
      <c r="Y387">
        <f>IF(Table1[[#This Row],[hotwaterheating]]="yes", 1, 0)</f>
        <v>0</v>
      </c>
      <c r="Z387">
        <f>IF(Table1[[#This Row],[airconditioning]]="yes", 1, 0)</f>
        <v>0</v>
      </c>
      <c r="AA387">
        <v>0</v>
      </c>
      <c r="AB387">
        <f>IF(Table1[[#This Row],[prefarea]]= "yes", 1, 0)</f>
        <v>0</v>
      </c>
      <c r="AC387" s="1">
        <v>3570000</v>
      </c>
    </row>
    <row r="388" spans="1:29">
      <c r="A388">
        <v>3850</v>
      </c>
      <c r="B388" t="s">
        <v>17</v>
      </c>
      <c r="C388">
        <v>3</v>
      </c>
      <c r="D388">
        <v>1</v>
      </c>
      <c r="E388">
        <v>1</v>
      </c>
      <c r="F388" t="s">
        <v>13</v>
      </c>
      <c r="G388" t="s">
        <v>14</v>
      </c>
      <c r="H388" t="s">
        <v>14</v>
      </c>
      <c r="I388" t="s">
        <v>14</v>
      </c>
      <c r="J388" t="s">
        <v>14</v>
      </c>
      <c r="K388">
        <v>2</v>
      </c>
      <c r="L388" t="s">
        <v>14</v>
      </c>
      <c r="M388" s="1">
        <v>3535000</v>
      </c>
      <c r="P388">
        <v>3850</v>
      </c>
      <c r="Q388">
        <f>IF(Table1[[#This Row],[furnishingstatus]]="furnished", 1, 0)</f>
        <v>0</v>
      </c>
      <c r="R388">
        <f>IF(Table1[[#This Row],[furnishingstatus]]="semi-furnished", 1, 0)</f>
        <v>0</v>
      </c>
      <c r="S388">
        <v>3</v>
      </c>
      <c r="T388">
        <v>1</v>
      </c>
      <c r="U388">
        <v>1</v>
      </c>
      <c r="V388">
        <f>IF(Table1[[#This Row],[mainroad]] = "yes", 1, 0)</f>
        <v>1</v>
      </c>
      <c r="W388">
        <f>IF(Table1[[#This Row],[guestroom]]= "yes", 1, 0)</f>
        <v>0</v>
      </c>
      <c r="X388">
        <f>IF(Table1[[#This Row],[basement]]="yes", 1, 0)</f>
        <v>0</v>
      </c>
      <c r="Y388">
        <f>IF(Table1[[#This Row],[hotwaterheating]]="yes", 1, 0)</f>
        <v>0</v>
      </c>
      <c r="Z388">
        <f>IF(Table1[[#This Row],[airconditioning]]="yes", 1, 0)</f>
        <v>0</v>
      </c>
      <c r="AA388">
        <v>2</v>
      </c>
      <c r="AB388">
        <f>IF(Table1[[#This Row],[prefarea]]= "yes", 1, 0)</f>
        <v>0</v>
      </c>
      <c r="AC388" s="1">
        <v>3535000</v>
      </c>
    </row>
    <row r="389" spans="1:29">
      <c r="A389">
        <v>4240</v>
      </c>
      <c r="B389" t="s">
        <v>16</v>
      </c>
      <c r="C389">
        <v>3</v>
      </c>
      <c r="D389">
        <v>1</v>
      </c>
      <c r="E389">
        <v>2</v>
      </c>
      <c r="F389" t="s">
        <v>13</v>
      </c>
      <c r="G389" t="s">
        <v>14</v>
      </c>
      <c r="H389" t="s">
        <v>14</v>
      </c>
      <c r="I389" t="s">
        <v>14</v>
      </c>
      <c r="J389" t="s">
        <v>13</v>
      </c>
      <c r="K389">
        <v>0</v>
      </c>
      <c r="L389" t="s">
        <v>14</v>
      </c>
      <c r="M389" s="1">
        <v>3500000</v>
      </c>
      <c r="P389">
        <v>4240</v>
      </c>
      <c r="Q389">
        <f>IF(Table1[[#This Row],[furnishingstatus]]="furnished", 1, 0)</f>
        <v>0</v>
      </c>
      <c r="R389">
        <f>IF(Table1[[#This Row],[furnishingstatus]]="semi-furnished", 1, 0)</f>
        <v>1</v>
      </c>
      <c r="S389">
        <v>3</v>
      </c>
      <c r="T389">
        <v>1</v>
      </c>
      <c r="U389">
        <v>2</v>
      </c>
      <c r="V389">
        <f>IF(Table1[[#This Row],[mainroad]] = "yes", 1, 0)</f>
        <v>1</v>
      </c>
      <c r="W389">
        <f>IF(Table1[[#This Row],[guestroom]]= "yes", 1, 0)</f>
        <v>0</v>
      </c>
      <c r="X389">
        <f>IF(Table1[[#This Row],[basement]]="yes", 1, 0)</f>
        <v>0</v>
      </c>
      <c r="Y389">
        <f>IF(Table1[[#This Row],[hotwaterheating]]="yes", 1, 0)</f>
        <v>0</v>
      </c>
      <c r="Z389">
        <f>IF(Table1[[#This Row],[airconditioning]]="yes", 1, 0)</f>
        <v>1</v>
      </c>
      <c r="AA389">
        <v>0</v>
      </c>
      <c r="AB389">
        <f>IF(Table1[[#This Row],[prefarea]]= "yes", 1, 0)</f>
        <v>0</v>
      </c>
      <c r="AC389" s="1">
        <v>3500000</v>
      </c>
    </row>
    <row r="390" spans="1:29">
      <c r="A390">
        <v>3650</v>
      </c>
      <c r="B390" t="s">
        <v>17</v>
      </c>
      <c r="C390">
        <v>3</v>
      </c>
      <c r="D390">
        <v>1</v>
      </c>
      <c r="E390">
        <v>2</v>
      </c>
      <c r="F390" t="s">
        <v>13</v>
      </c>
      <c r="G390" t="s">
        <v>14</v>
      </c>
      <c r="H390" t="s">
        <v>14</v>
      </c>
      <c r="I390" t="s">
        <v>14</v>
      </c>
      <c r="J390" t="s">
        <v>14</v>
      </c>
      <c r="K390">
        <v>0</v>
      </c>
      <c r="L390" t="s">
        <v>14</v>
      </c>
      <c r="M390" s="1">
        <v>3500000</v>
      </c>
      <c r="P390">
        <v>3650</v>
      </c>
      <c r="Q390">
        <f>IF(Table1[[#This Row],[furnishingstatus]]="furnished", 1, 0)</f>
        <v>0</v>
      </c>
      <c r="R390">
        <f>IF(Table1[[#This Row],[furnishingstatus]]="semi-furnished", 1, 0)</f>
        <v>0</v>
      </c>
      <c r="S390">
        <v>3</v>
      </c>
      <c r="T390">
        <v>1</v>
      </c>
      <c r="U390">
        <v>2</v>
      </c>
      <c r="V390">
        <f>IF(Table1[[#This Row],[mainroad]] = "yes", 1, 0)</f>
        <v>1</v>
      </c>
      <c r="W390">
        <f>IF(Table1[[#This Row],[guestroom]]= "yes", 1, 0)</f>
        <v>0</v>
      </c>
      <c r="X390">
        <f>IF(Table1[[#This Row],[basement]]="yes", 1, 0)</f>
        <v>0</v>
      </c>
      <c r="Y390">
        <f>IF(Table1[[#This Row],[hotwaterheating]]="yes", 1, 0)</f>
        <v>0</v>
      </c>
      <c r="Z390">
        <f>IF(Table1[[#This Row],[airconditioning]]="yes", 1, 0)</f>
        <v>0</v>
      </c>
      <c r="AA390">
        <v>0</v>
      </c>
      <c r="AB390">
        <f>IF(Table1[[#This Row],[prefarea]]= "yes", 1, 0)</f>
        <v>0</v>
      </c>
      <c r="AC390" s="1">
        <v>3500000</v>
      </c>
    </row>
    <row r="391" spans="1:29">
      <c r="A391">
        <v>4600</v>
      </c>
      <c r="B391" t="s">
        <v>16</v>
      </c>
      <c r="C391">
        <v>4</v>
      </c>
      <c r="D391">
        <v>1</v>
      </c>
      <c r="E391">
        <v>2</v>
      </c>
      <c r="F391" t="s">
        <v>13</v>
      </c>
      <c r="G391" t="s">
        <v>14</v>
      </c>
      <c r="H391" t="s">
        <v>14</v>
      </c>
      <c r="I391" t="s">
        <v>14</v>
      </c>
      <c r="J391" t="s">
        <v>14</v>
      </c>
      <c r="K391">
        <v>0</v>
      </c>
      <c r="L391" t="s">
        <v>14</v>
      </c>
      <c r="M391" s="1">
        <v>3500000</v>
      </c>
      <c r="P391">
        <v>4600</v>
      </c>
      <c r="Q391">
        <f>IF(Table1[[#This Row],[furnishingstatus]]="furnished", 1, 0)</f>
        <v>0</v>
      </c>
      <c r="R391">
        <f>IF(Table1[[#This Row],[furnishingstatus]]="semi-furnished", 1, 0)</f>
        <v>1</v>
      </c>
      <c r="S391">
        <v>4</v>
      </c>
      <c r="T391">
        <v>1</v>
      </c>
      <c r="U391">
        <v>2</v>
      </c>
      <c r="V391">
        <f>IF(Table1[[#This Row],[mainroad]] = "yes", 1, 0)</f>
        <v>1</v>
      </c>
      <c r="W391">
        <f>IF(Table1[[#This Row],[guestroom]]= "yes", 1, 0)</f>
        <v>0</v>
      </c>
      <c r="X391">
        <f>IF(Table1[[#This Row],[basement]]="yes", 1, 0)</f>
        <v>0</v>
      </c>
      <c r="Y391">
        <f>IF(Table1[[#This Row],[hotwaterheating]]="yes", 1, 0)</f>
        <v>0</v>
      </c>
      <c r="Z391">
        <f>IF(Table1[[#This Row],[airconditioning]]="yes", 1, 0)</f>
        <v>0</v>
      </c>
      <c r="AA391">
        <v>0</v>
      </c>
      <c r="AB391">
        <f>IF(Table1[[#This Row],[prefarea]]= "yes", 1, 0)</f>
        <v>0</v>
      </c>
      <c r="AC391" s="1">
        <v>3500000</v>
      </c>
    </row>
    <row r="392" spans="1:29">
      <c r="A392">
        <v>2135</v>
      </c>
      <c r="B392" t="s">
        <v>17</v>
      </c>
      <c r="C392">
        <v>3</v>
      </c>
      <c r="D392">
        <v>2</v>
      </c>
      <c r="E392">
        <v>2</v>
      </c>
      <c r="F392" t="s">
        <v>14</v>
      </c>
      <c r="G392" t="s">
        <v>14</v>
      </c>
      <c r="H392" t="s">
        <v>14</v>
      </c>
      <c r="I392" t="s">
        <v>14</v>
      </c>
      <c r="J392" t="s">
        <v>14</v>
      </c>
      <c r="K392">
        <v>0</v>
      </c>
      <c r="L392" t="s">
        <v>14</v>
      </c>
      <c r="M392" s="1">
        <v>3500000</v>
      </c>
      <c r="P392">
        <v>2135</v>
      </c>
      <c r="Q392">
        <f>IF(Table1[[#This Row],[furnishingstatus]]="furnished", 1, 0)</f>
        <v>0</v>
      </c>
      <c r="R392">
        <f>IF(Table1[[#This Row],[furnishingstatus]]="semi-furnished", 1, 0)</f>
        <v>0</v>
      </c>
      <c r="S392">
        <v>3</v>
      </c>
      <c r="T392">
        <v>2</v>
      </c>
      <c r="U392">
        <v>2</v>
      </c>
      <c r="V392">
        <f>IF(Table1[[#This Row],[mainroad]] = "yes", 1, 0)</f>
        <v>0</v>
      </c>
      <c r="W392">
        <f>IF(Table1[[#This Row],[guestroom]]= "yes", 1, 0)</f>
        <v>0</v>
      </c>
      <c r="X392">
        <f>IF(Table1[[#This Row],[basement]]="yes", 1, 0)</f>
        <v>0</v>
      </c>
      <c r="Y392">
        <f>IF(Table1[[#This Row],[hotwaterheating]]="yes", 1, 0)</f>
        <v>0</v>
      </c>
      <c r="Z392">
        <f>IF(Table1[[#This Row],[airconditioning]]="yes", 1, 0)</f>
        <v>0</v>
      </c>
      <c r="AA392">
        <v>0</v>
      </c>
      <c r="AB392">
        <f>IF(Table1[[#This Row],[prefarea]]= "yes", 1, 0)</f>
        <v>0</v>
      </c>
      <c r="AC392" s="1">
        <v>3500000</v>
      </c>
    </row>
    <row r="393" spans="1:29">
      <c r="A393">
        <v>3036</v>
      </c>
      <c r="B393" t="s">
        <v>16</v>
      </c>
      <c r="C393">
        <v>3</v>
      </c>
      <c r="D393">
        <v>1</v>
      </c>
      <c r="E393">
        <v>2</v>
      </c>
      <c r="F393" t="s">
        <v>13</v>
      </c>
      <c r="G393" t="s">
        <v>14</v>
      </c>
      <c r="H393" t="s">
        <v>13</v>
      </c>
      <c r="I393" t="s">
        <v>14</v>
      </c>
      <c r="J393" t="s">
        <v>14</v>
      </c>
      <c r="K393">
        <v>0</v>
      </c>
      <c r="L393" t="s">
        <v>14</v>
      </c>
      <c r="M393" s="1">
        <v>3500000</v>
      </c>
      <c r="P393">
        <v>3036</v>
      </c>
      <c r="Q393">
        <f>IF(Table1[[#This Row],[furnishingstatus]]="furnished", 1, 0)</f>
        <v>0</v>
      </c>
      <c r="R393">
        <f>IF(Table1[[#This Row],[furnishingstatus]]="semi-furnished", 1, 0)</f>
        <v>1</v>
      </c>
      <c r="S393">
        <v>3</v>
      </c>
      <c r="T393">
        <v>1</v>
      </c>
      <c r="U393">
        <v>2</v>
      </c>
      <c r="V393">
        <f>IF(Table1[[#This Row],[mainroad]] = "yes", 1, 0)</f>
        <v>1</v>
      </c>
      <c r="W393">
        <f>IF(Table1[[#This Row],[guestroom]]= "yes", 1, 0)</f>
        <v>0</v>
      </c>
      <c r="X393">
        <f>IF(Table1[[#This Row],[basement]]="yes", 1, 0)</f>
        <v>1</v>
      </c>
      <c r="Y393">
        <f>IF(Table1[[#This Row],[hotwaterheating]]="yes", 1, 0)</f>
        <v>0</v>
      </c>
      <c r="Z393">
        <f>IF(Table1[[#This Row],[airconditioning]]="yes", 1, 0)</f>
        <v>0</v>
      </c>
      <c r="AA393">
        <v>0</v>
      </c>
      <c r="AB393">
        <f>IF(Table1[[#This Row],[prefarea]]= "yes", 1, 0)</f>
        <v>0</v>
      </c>
      <c r="AC393" s="1">
        <v>3500000</v>
      </c>
    </row>
    <row r="394" spans="1:29">
      <c r="A394">
        <v>3990</v>
      </c>
      <c r="B394" t="s">
        <v>16</v>
      </c>
      <c r="C394">
        <v>3</v>
      </c>
      <c r="D394">
        <v>1</v>
      </c>
      <c r="E394">
        <v>2</v>
      </c>
      <c r="F394" t="s">
        <v>13</v>
      </c>
      <c r="G394" t="s">
        <v>14</v>
      </c>
      <c r="H394" t="s">
        <v>14</v>
      </c>
      <c r="I394" t="s">
        <v>14</v>
      </c>
      <c r="J394" t="s">
        <v>14</v>
      </c>
      <c r="K394">
        <v>0</v>
      </c>
      <c r="L394" t="s">
        <v>14</v>
      </c>
      <c r="M394" s="1">
        <v>3500000</v>
      </c>
      <c r="P394">
        <v>3990</v>
      </c>
      <c r="Q394">
        <f>IF(Table1[[#This Row],[furnishingstatus]]="furnished", 1, 0)</f>
        <v>0</v>
      </c>
      <c r="R394">
        <f>IF(Table1[[#This Row],[furnishingstatus]]="semi-furnished", 1, 0)</f>
        <v>1</v>
      </c>
      <c r="S394">
        <v>3</v>
      </c>
      <c r="T394">
        <v>1</v>
      </c>
      <c r="U394">
        <v>2</v>
      </c>
      <c r="V394">
        <f>IF(Table1[[#This Row],[mainroad]] = "yes", 1, 0)</f>
        <v>1</v>
      </c>
      <c r="W394">
        <f>IF(Table1[[#This Row],[guestroom]]= "yes", 1, 0)</f>
        <v>0</v>
      </c>
      <c r="X394">
        <f>IF(Table1[[#This Row],[basement]]="yes", 1, 0)</f>
        <v>0</v>
      </c>
      <c r="Y394">
        <f>IF(Table1[[#This Row],[hotwaterheating]]="yes", 1, 0)</f>
        <v>0</v>
      </c>
      <c r="Z394">
        <f>IF(Table1[[#This Row],[airconditioning]]="yes", 1, 0)</f>
        <v>0</v>
      </c>
      <c r="AA394">
        <v>0</v>
      </c>
      <c r="AB394">
        <f>IF(Table1[[#This Row],[prefarea]]= "yes", 1, 0)</f>
        <v>0</v>
      </c>
      <c r="AC394" s="1">
        <v>3500000</v>
      </c>
    </row>
    <row r="395" spans="1:29">
      <c r="A395">
        <v>7424</v>
      </c>
      <c r="B395" t="s">
        <v>17</v>
      </c>
      <c r="C395">
        <v>3</v>
      </c>
      <c r="D395">
        <v>1</v>
      </c>
      <c r="E395">
        <v>1</v>
      </c>
      <c r="F395" t="s">
        <v>14</v>
      </c>
      <c r="G395" t="s">
        <v>14</v>
      </c>
      <c r="H395" t="s">
        <v>14</v>
      </c>
      <c r="I395" t="s">
        <v>14</v>
      </c>
      <c r="J395" t="s">
        <v>14</v>
      </c>
      <c r="K395">
        <v>0</v>
      </c>
      <c r="L395" t="s">
        <v>14</v>
      </c>
      <c r="M395" s="1">
        <v>3500000</v>
      </c>
      <c r="P395">
        <v>7424</v>
      </c>
      <c r="Q395">
        <f>IF(Table1[[#This Row],[furnishingstatus]]="furnished", 1, 0)</f>
        <v>0</v>
      </c>
      <c r="R395">
        <f>IF(Table1[[#This Row],[furnishingstatus]]="semi-furnished", 1, 0)</f>
        <v>0</v>
      </c>
      <c r="S395">
        <v>3</v>
      </c>
      <c r="T395">
        <v>1</v>
      </c>
      <c r="U395">
        <v>1</v>
      </c>
      <c r="V395">
        <f>IF(Table1[[#This Row],[mainroad]] = "yes", 1, 0)</f>
        <v>0</v>
      </c>
      <c r="W395">
        <f>IF(Table1[[#This Row],[guestroom]]= "yes", 1, 0)</f>
        <v>0</v>
      </c>
      <c r="X395">
        <f>IF(Table1[[#This Row],[basement]]="yes", 1, 0)</f>
        <v>0</v>
      </c>
      <c r="Y395">
        <f>IF(Table1[[#This Row],[hotwaterheating]]="yes", 1, 0)</f>
        <v>0</v>
      </c>
      <c r="Z395">
        <f>IF(Table1[[#This Row],[airconditioning]]="yes", 1, 0)</f>
        <v>0</v>
      </c>
      <c r="AA395">
        <v>0</v>
      </c>
      <c r="AB395">
        <f>IF(Table1[[#This Row],[prefarea]]= "yes", 1, 0)</f>
        <v>0</v>
      </c>
      <c r="AC395" s="1">
        <v>3500000</v>
      </c>
    </row>
    <row r="396" spans="1:29">
      <c r="A396">
        <v>3480</v>
      </c>
      <c r="B396" t="s">
        <v>17</v>
      </c>
      <c r="C396">
        <v>3</v>
      </c>
      <c r="D396">
        <v>1</v>
      </c>
      <c r="E396">
        <v>1</v>
      </c>
      <c r="F396" t="s">
        <v>14</v>
      </c>
      <c r="G396" t="s">
        <v>14</v>
      </c>
      <c r="H396" t="s">
        <v>14</v>
      </c>
      <c r="I396" t="s">
        <v>14</v>
      </c>
      <c r="J396" t="s">
        <v>13</v>
      </c>
      <c r="K396">
        <v>0</v>
      </c>
      <c r="L396" t="s">
        <v>14</v>
      </c>
      <c r="M396" s="1">
        <v>3500000</v>
      </c>
      <c r="P396">
        <v>3480</v>
      </c>
      <c r="Q396">
        <f>IF(Table1[[#This Row],[furnishingstatus]]="furnished", 1, 0)</f>
        <v>0</v>
      </c>
      <c r="R396">
        <f>IF(Table1[[#This Row],[furnishingstatus]]="semi-furnished", 1, 0)</f>
        <v>0</v>
      </c>
      <c r="S396">
        <v>3</v>
      </c>
      <c r="T396">
        <v>1</v>
      </c>
      <c r="U396">
        <v>1</v>
      </c>
      <c r="V396">
        <f>IF(Table1[[#This Row],[mainroad]] = "yes", 1, 0)</f>
        <v>0</v>
      </c>
      <c r="W396">
        <f>IF(Table1[[#This Row],[guestroom]]= "yes", 1, 0)</f>
        <v>0</v>
      </c>
      <c r="X396">
        <f>IF(Table1[[#This Row],[basement]]="yes", 1, 0)</f>
        <v>0</v>
      </c>
      <c r="Y396">
        <f>IF(Table1[[#This Row],[hotwaterheating]]="yes", 1, 0)</f>
        <v>0</v>
      </c>
      <c r="Z396">
        <f>IF(Table1[[#This Row],[airconditioning]]="yes", 1, 0)</f>
        <v>1</v>
      </c>
      <c r="AA396">
        <v>0</v>
      </c>
      <c r="AB396">
        <f>IF(Table1[[#This Row],[prefarea]]= "yes", 1, 0)</f>
        <v>0</v>
      </c>
      <c r="AC396" s="1">
        <v>3500000</v>
      </c>
    </row>
    <row r="397" spans="1:29">
      <c r="A397">
        <v>3600</v>
      </c>
      <c r="B397" t="s">
        <v>17</v>
      </c>
      <c r="C397">
        <v>6</v>
      </c>
      <c r="D397">
        <v>1</v>
      </c>
      <c r="E397">
        <v>2</v>
      </c>
      <c r="F397" t="s">
        <v>13</v>
      </c>
      <c r="G397" t="s">
        <v>14</v>
      </c>
      <c r="H397" t="s">
        <v>14</v>
      </c>
      <c r="I397" t="s">
        <v>14</v>
      </c>
      <c r="J397" t="s">
        <v>14</v>
      </c>
      <c r="K397">
        <v>1</v>
      </c>
      <c r="L397" t="s">
        <v>14</v>
      </c>
      <c r="M397" s="1">
        <v>3500000</v>
      </c>
      <c r="P397">
        <v>3600</v>
      </c>
      <c r="Q397">
        <f>IF(Table1[[#This Row],[furnishingstatus]]="furnished", 1, 0)</f>
        <v>0</v>
      </c>
      <c r="R397">
        <f>IF(Table1[[#This Row],[furnishingstatus]]="semi-furnished", 1, 0)</f>
        <v>0</v>
      </c>
      <c r="S397">
        <v>6</v>
      </c>
      <c r="T397">
        <v>1</v>
      </c>
      <c r="U397">
        <v>2</v>
      </c>
      <c r="V397">
        <f>IF(Table1[[#This Row],[mainroad]] = "yes", 1, 0)</f>
        <v>1</v>
      </c>
      <c r="W397">
        <f>IF(Table1[[#This Row],[guestroom]]= "yes", 1, 0)</f>
        <v>0</v>
      </c>
      <c r="X397">
        <f>IF(Table1[[#This Row],[basement]]="yes", 1, 0)</f>
        <v>0</v>
      </c>
      <c r="Y397">
        <f>IF(Table1[[#This Row],[hotwaterheating]]="yes", 1, 0)</f>
        <v>0</v>
      </c>
      <c r="Z397">
        <f>IF(Table1[[#This Row],[airconditioning]]="yes", 1, 0)</f>
        <v>0</v>
      </c>
      <c r="AA397">
        <v>1</v>
      </c>
      <c r="AB397">
        <f>IF(Table1[[#This Row],[prefarea]]= "yes", 1, 0)</f>
        <v>0</v>
      </c>
      <c r="AC397" s="1">
        <v>3500000</v>
      </c>
    </row>
    <row r="398" spans="1:29">
      <c r="A398">
        <v>3640</v>
      </c>
      <c r="B398" t="s">
        <v>16</v>
      </c>
      <c r="C398">
        <v>2</v>
      </c>
      <c r="D398">
        <v>1</v>
      </c>
      <c r="E398">
        <v>1</v>
      </c>
      <c r="F398" t="s">
        <v>13</v>
      </c>
      <c r="G398" t="s">
        <v>14</v>
      </c>
      <c r="H398" t="s">
        <v>14</v>
      </c>
      <c r="I398" t="s">
        <v>14</v>
      </c>
      <c r="J398" t="s">
        <v>14</v>
      </c>
      <c r="K398">
        <v>1</v>
      </c>
      <c r="L398" t="s">
        <v>14</v>
      </c>
      <c r="M398" s="1">
        <v>3500000</v>
      </c>
      <c r="P398">
        <v>3640</v>
      </c>
      <c r="Q398">
        <f>IF(Table1[[#This Row],[furnishingstatus]]="furnished", 1, 0)</f>
        <v>0</v>
      </c>
      <c r="R398">
        <f>IF(Table1[[#This Row],[furnishingstatus]]="semi-furnished", 1, 0)</f>
        <v>1</v>
      </c>
      <c r="S398">
        <v>2</v>
      </c>
      <c r="T398">
        <v>1</v>
      </c>
      <c r="U398">
        <v>1</v>
      </c>
      <c r="V398">
        <f>IF(Table1[[#This Row],[mainroad]] = "yes", 1, 0)</f>
        <v>1</v>
      </c>
      <c r="W398">
        <f>IF(Table1[[#This Row],[guestroom]]= "yes", 1, 0)</f>
        <v>0</v>
      </c>
      <c r="X398">
        <f>IF(Table1[[#This Row],[basement]]="yes", 1, 0)</f>
        <v>0</v>
      </c>
      <c r="Y398">
        <f>IF(Table1[[#This Row],[hotwaterheating]]="yes", 1, 0)</f>
        <v>0</v>
      </c>
      <c r="Z398">
        <f>IF(Table1[[#This Row],[airconditioning]]="yes", 1, 0)</f>
        <v>0</v>
      </c>
      <c r="AA398">
        <v>1</v>
      </c>
      <c r="AB398">
        <f>IF(Table1[[#This Row],[prefarea]]= "yes", 1, 0)</f>
        <v>0</v>
      </c>
      <c r="AC398" s="1">
        <v>3500000</v>
      </c>
    </row>
    <row r="399" spans="1:29">
      <c r="A399">
        <v>5900</v>
      </c>
      <c r="B399" t="s">
        <v>15</v>
      </c>
      <c r="C399">
        <v>2</v>
      </c>
      <c r="D399">
        <v>1</v>
      </c>
      <c r="E399">
        <v>1</v>
      </c>
      <c r="F399" t="s">
        <v>13</v>
      </c>
      <c r="G399" t="s">
        <v>14</v>
      </c>
      <c r="H399" t="s">
        <v>14</v>
      </c>
      <c r="I399" t="s">
        <v>14</v>
      </c>
      <c r="J399" t="s">
        <v>14</v>
      </c>
      <c r="K399">
        <v>1</v>
      </c>
      <c r="L399" t="s">
        <v>14</v>
      </c>
      <c r="M399" s="1">
        <v>3500000</v>
      </c>
      <c r="P399">
        <v>5900</v>
      </c>
      <c r="Q399">
        <f>IF(Table1[[#This Row],[furnishingstatus]]="furnished", 1, 0)</f>
        <v>1</v>
      </c>
      <c r="R399">
        <f>IF(Table1[[#This Row],[furnishingstatus]]="semi-furnished", 1, 0)</f>
        <v>0</v>
      </c>
      <c r="S399">
        <v>2</v>
      </c>
      <c r="T399">
        <v>1</v>
      </c>
      <c r="U399">
        <v>1</v>
      </c>
      <c r="V399">
        <f>IF(Table1[[#This Row],[mainroad]] = "yes", 1, 0)</f>
        <v>1</v>
      </c>
      <c r="W399">
        <f>IF(Table1[[#This Row],[guestroom]]= "yes", 1, 0)</f>
        <v>0</v>
      </c>
      <c r="X399">
        <f>IF(Table1[[#This Row],[basement]]="yes", 1, 0)</f>
        <v>0</v>
      </c>
      <c r="Y399">
        <f>IF(Table1[[#This Row],[hotwaterheating]]="yes", 1, 0)</f>
        <v>0</v>
      </c>
      <c r="Z399">
        <f>IF(Table1[[#This Row],[airconditioning]]="yes", 1, 0)</f>
        <v>0</v>
      </c>
      <c r="AA399">
        <v>1</v>
      </c>
      <c r="AB399">
        <f>IF(Table1[[#This Row],[prefarea]]= "yes", 1, 0)</f>
        <v>0</v>
      </c>
      <c r="AC399" s="1">
        <v>3500000</v>
      </c>
    </row>
    <row r="400" spans="1:29">
      <c r="A400">
        <v>3120</v>
      </c>
      <c r="B400" t="s">
        <v>17</v>
      </c>
      <c r="C400">
        <v>3</v>
      </c>
      <c r="D400">
        <v>1</v>
      </c>
      <c r="E400">
        <v>2</v>
      </c>
      <c r="F400" t="s">
        <v>13</v>
      </c>
      <c r="G400" t="s">
        <v>14</v>
      </c>
      <c r="H400" t="s">
        <v>14</v>
      </c>
      <c r="I400" t="s">
        <v>14</v>
      </c>
      <c r="J400" t="s">
        <v>14</v>
      </c>
      <c r="K400">
        <v>1</v>
      </c>
      <c r="L400" t="s">
        <v>14</v>
      </c>
      <c r="M400" s="1">
        <v>3500000</v>
      </c>
      <c r="P400">
        <v>3120</v>
      </c>
      <c r="Q400">
        <f>IF(Table1[[#This Row],[furnishingstatus]]="furnished", 1, 0)</f>
        <v>0</v>
      </c>
      <c r="R400">
        <f>IF(Table1[[#This Row],[furnishingstatus]]="semi-furnished", 1, 0)</f>
        <v>0</v>
      </c>
      <c r="S400">
        <v>3</v>
      </c>
      <c r="T400">
        <v>1</v>
      </c>
      <c r="U400">
        <v>2</v>
      </c>
      <c r="V400">
        <f>IF(Table1[[#This Row],[mainroad]] = "yes", 1, 0)</f>
        <v>1</v>
      </c>
      <c r="W400">
        <f>IF(Table1[[#This Row],[guestroom]]= "yes", 1, 0)</f>
        <v>0</v>
      </c>
      <c r="X400">
        <f>IF(Table1[[#This Row],[basement]]="yes", 1, 0)</f>
        <v>0</v>
      </c>
      <c r="Y400">
        <f>IF(Table1[[#This Row],[hotwaterheating]]="yes", 1, 0)</f>
        <v>0</v>
      </c>
      <c r="Z400">
        <f>IF(Table1[[#This Row],[airconditioning]]="yes", 1, 0)</f>
        <v>0</v>
      </c>
      <c r="AA400">
        <v>1</v>
      </c>
      <c r="AB400">
        <f>IF(Table1[[#This Row],[prefarea]]= "yes", 1, 0)</f>
        <v>0</v>
      </c>
      <c r="AC400" s="1">
        <v>3500000</v>
      </c>
    </row>
    <row r="401" spans="1:29">
      <c r="A401">
        <v>7350</v>
      </c>
      <c r="B401" t="s">
        <v>16</v>
      </c>
      <c r="C401">
        <v>2</v>
      </c>
      <c r="D401">
        <v>1</v>
      </c>
      <c r="E401">
        <v>1</v>
      </c>
      <c r="F401" t="s">
        <v>13</v>
      </c>
      <c r="G401" t="s">
        <v>14</v>
      </c>
      <c r="H401" t="s">
        <v>14</v>
      </c>
      <c r="I401" t="s">
        <v>14</v>
      </c>
      <c r="J401" t="s">
        <v>14</v>
      </c>
      <c r="K401">
        <v>1</v>
      </c>
      <c r="L401" t="s">
        <v>14</v>
      </c>
      <c r="M401" s="1">
        <v>3500000</v>
      </c>
      <c r="P401">
        <v>7350</v>
      </c>
      <c r="Q401">
        <f>IF(Table1[[#This Row],[furnishingstatus]]="furnished", 1, 0)</f>
        <v>0</v>
      </c>
      <c r="R401">
        <f>IF(Table1[[#This Row],[furnishingstatus]]="semi-furnished", 1, 0)</f>
        <v>1</v>
      </c>
      <c r="S401">
        <v>2</v>
      </c>
      <c r="T401">
        <v>1</v>
      </c>
      <c r="U401">
        <v>1</v>
      </c>
      <c r="V401">
        <f>IF(Table1[[#This Row],[mainroad]] = "yes", 1, 0)</f>
        <v>1</v>
      </c>
      <c r="W401">
        <f>IF(Table1[[#This Row],[guestroom]]= "yes", 1, 0)</f>
        <v>0</v>
      </c>
      <c r="X401">
        <f>IF(Table1[[#This Row],[basement]]="yes", 1, 0)</f>
        <v>0</v>
      </c>
      <c r="Y401">
        <f>IF(Table1[[#This Row],[hotwaterheating]]="yes", 1, 0)</f>
        <v>0</v>
      </c>
      <c r="Z401">
        <f>IF(Table1[[#This Row],[airconditioning]]="yes", 1, 0)</f>
        <v>0</v>
      </c>
      <c r="AA401">
        <v>1</v>
      </c>
      <c r="AB401">
        <f>IF(Table1[[#This Row],[prefarea]]= "yes", 1, 0)</f>
        <v>0</v>
      </c>
      <c r="AC401" s="1">
        <v>3500000</v>
      </c>
    </row>
    <row r="402" spans="1:29">
      <c r="A402">
        <v>3512</v>
      </c>
      <c r="B402" t="s">
        <v>17</v>
      </c>
      <c r="C402">
        <v>2</v>
      </c>
      <c r="D402">
        <v>1</v>
      </c>
      <c r="E402">
        <v>1</v>
      </c>
      <c r="F402" t="s">
        <v>13</v>
      </c>
      <c r="G402" t="s">
        <v>14</v>
      </c>
      <c r="H402" t="s">
        <v>14</v>
      </c>
      <c r="I402" t="s">
        <v>14</v>
      </c>
      <c r="J402" t="s">
        <v>14</v>
      </c>
      <c r="K402">
        <v>1</v>
      </c>
      <c r="L402" t="s">
        <v>13</v>
      </c>
      <c r="M402" s="1">
        <v>3500000</v>
      </c>
      <c r="P402">
        <v>3512</v>
      </c>
      <c r="Q402">
        <f>IF(Table1[[#This Row],[furnishingstatus]]="furnished", 1, 0)</f>
        <v>0</v>
      </c>
      <c r="R402">
        <f>IF(Table1[[#This Row],[furnishingstatus]]="semi-furnished", 1, 0)</f>
        <v>0</v>
      </c>
      <c r="S402">
        <v>2</v>
      </c>
      <c r="T402">
        <v>1</v>
      </c>
      <c r="U402">
        <v>1</v>
      </c>
      <c r="V402">
        <f>IF(Table1[[#This Row],[mainroad]] = "yes", 1, 0)</f>
        <v>1</v>
      </c>
      <c r="W402">
        <f>IF(Table1[[#This Row],[guestroom]]= "yes", 1, 0)</f>
        <v>0</v>
      </c>
      <c r="X402">
        <f>IF(Table1[[#This Row],[basement]]="yes", 1, 0)</f>
        <v>0</v>
      </c>
      <c r="Y402">
        <f>IF(Table1[[#This Row],[hotwaterheating]]="yes", 1, 0)</f>
        <v>0</v>
      </c>
      <c r="Z402">
        <f>IF(Table1[[#This Row],[airconditioning]]="yes", 1, 0)</f>
        <v>0</v>
      </c>
      <c r="AA402">
        <v>1</v>
      </c>
      <c r="AB402">
        <f>IF(Table1[[#This Row],[prefarea]]= "yes", 1, 0)</f>
        <v>1</v>
      </c>
      <c r="AC402" s="1">
        <v>3500000</v>
      </c>
    </row>
    <row r="403" spans="1:29">
      <c r="A403">
        <v>9500</v>
      </c>
      <c r="B403" t="s">
        <v>17</v>
      </c>
      <c r="C403">
        <v>3</v>
      </c>
      <c r="D403">
        <v>1</v>
      </c>
      <c r="E403">
        <v>2</v>
      </c>
      <c r="F403" t="s">
        <v>13</v>
      </c>
      <c r="G403" t="s">
        <v>14</v>
      </c>
      <c r="H403" t="s">
        <v>14</v>
      </c>
      <c r="I403" t="s">
        <v>14</v>
      </c>
      <c r="J403" t="s">
        <v>14</v>
      </c>
      <c r="K403">
        <v>3</v>
      </c>
      <c r="L403" t="s">
        <v>13</v>
      </c>
      <c r="M403" s="1">
        <v>3500000</v>
      </c>
      <c r="P403">
        <v>9500</v>
      </c>
      <c r="Q403">
        <f>IF(Table1[[#This Row],[furnishingstatus]]="furnished", 1, 0)</f>
        <v>0</v>
      </c>
      <c r="R403">
        <f>IF(Table1[[#This Row],[furnishingstatus]]="semi-furnished", 1, 0)</f>
        <v>0</v>
      </c>
      <c r="S403">
        <v>3</v>
      </c>
      <c r="T403">
        <v>1</v>
      </c>
      <c r="U403">
        <v>2</v>
      </c>
      <c r="V403">
        <f>IF(Table1[[#This Row],[mainroad]] = "yes", 1, 0)</f>
        <v>1</v>
      </c>
      <c r="W403">
        <f>IF(Table1[[#This Row],[guestroom]]= "yes", 1, 0)</f>
        <v>0</v>
      </c>
      <c r="X403">
        <f>IF(Table1[[#This Row],[basement]]="yes", 1, 0)</f>
        <v>0</v>
      </c>
      <c r="Y403">
        <f>IF(Table1[[#This Row],[hotwaterheating]]="yes", 1, 0)</f>
        <v>0</v>
      </c>
      <c r="Z403">
        <f>IF(Table1[[#This Row],[airconditioning]]="yes", 1, 0)</f>
        <v>0</v>
      </c>
      <c r="AA403">
        <v>3</v>
      </c>
      <c r="AB403">
        <f>IF(Table1[[#This Row],[prefarea]]= "yes", 1, 0)</f>
        <v>1</v>
      </c>
      <c r="AC403" s="1">
        <v>3500000</v>
      </c>
    </row>
    <row r="404" spans="1:29">
      <c r="A404">
        <v>5880</v>
      </c>
      <c r="B404" t="s">
        <v>17</v>
      </c>
      <c r="C404">
        <v>2</v>
      </c>
      <c r="D404">
        <v>1</v>
      </c>
      <c r="E404">
        <v>1</v>
      </c>
      <c r="F404" t="s">
        <v>13</v>
      </c>
      <c r="G404" t="s">
        <v>14</v>
      </c>
      <c r="H404" t="s">
        <v>14</v>
      </c>
      <c r="I404" t="s">
        <v>14</v>
      </c>
      <c r="J404" t="s">
        <v>14</v>
      </c>
      <c r="K404">
        <v>0</v>
      </c>
      <c r="L404" t="s">
        <v>14</v>
      </c>
      <c r="M404" s="1">
        <v>3500000</v>
      </c>
      <c r="P404">
        <v>5880</v>
      </c>
      <c r="Q404">
        <f>IF(Table1[[#This Row],[furnishingstatus]]="furnished", 1, 0)</f>
        <v>0</v>
      </c>
      <c r="R404">
        <f>IF(Table1[[#This Row],[furnishingstatus]]="semi-furnished", 1, 0)</f>
        <v>0</v>
      </c>
      <c r="S404">
        <v>2</v>
      </c>
      <c r="T404">
        <v>1</v>
      </c>
      <c r="U404">
        <v>1</v>
      </c>
      <c r="V404">
        <f>IF(Table1[[#This Row],[mainroad]] = "yes", 1, 0)</f>
        <v>1</v>
      </c>
      <c r="W404">
        <f>IF(Table1[[#This Row],[guestroom]]= "yes", 1, 0)</f>
        <v>0</v>
      </c>
      <c r="X404">
        <f>IF(Table1[[#This Row],[basement]]="yes", 1, 0)</f>
        <v>0</v>
      </c>
      <c r="Y404">
        <f>IF(Table1[[#This Row],[hotwaterheating]]="yes", 1, 0)</f>
        <v>0</v>
      </c>
      <c r="Z404">
        <f>IF(Table1[[#This Row],[airconditioning]]="yes", 1, 0)</f>
        <v>0</v>
      </c>
      <c r="AA404">
        <v>0</v>
      </c>
      <c r="AB404">
        <f>IF(Table1[[#This Row],[prefarea]]= "yes", 1, 0)</f>
        <v>0</v>
      </c>
      <c r="AC404" s="1">
        <v>3500000</v>
      </c>
    </row>
    <row r="405" spans="1:29">
      <c r="A405">
        <v>12944</v>
      </c>
      <c r="B405" t="s">
        <v>17</v>
      </c>
      <c r="C405">
        <v>3</v>
      </c>
      <c r="D405">
        <v>1</v>
      </c>
      <c r="E405">
        <v>1</v>
      </c>
      <c r="F405" t="s">
        <v>13</v>
      </c>
      <c r="G405" t="s">
        <v>14</v>
      </c>
      <c r="H405" t="s">
        <v>14</v>
      </c>
      <c r="I405" t="s">
        <v>14</v>
      </c>
      <c r="J405" t="s">
        <v>14</v>
      </c>
      <c r="K405">
        <v>0</v>
      </c>
      <c r="L405" t="s">
        <v>14</v>
      </c>
      <c r="M405" s="1">
        <v>3500000</v>
      </c>
      <c r="P405">
        <v>12944</v>
      </c>
      <c r="Q405">
        <f>IF(Table1[[#This Row],[furnishingstatus]]="furnished", 1, 0)</f>
        <v>0</v>
      </c>
      <c r="R405">
        <f>IF(Table1[[#This Row],[furnishingstatus]]="semi-furnished", 1, 0)</f>
        <v>0</v>
      </c>
      <c r="S405">
        <v>3</v>
      </c>
      <c r="T405">
        <v>1</v>
      </c>
      <c r="U405">
        <v>1</v>
      </c>
      <c r="V405">
        <f>IF(Table1[[#This Row],[mainroad]] = "yes", 1, 0)</f>
        <v>1</v>
      </c>
      <c r="W405">
        <f>IF(Table1[[#This Row],[guestroom]]= "yes", 1, 0)</f>
        <v>0</v>
      </c>
      <c r="X405">
        <f>IF(Table1[[#This Row],[basement]]="yes", 1, 0)</f>
        <v>0</v>
      </c>
      <c r="Y405">
        <f>IF(Table1[[#This Row],[hotwaterheating]]="yes", 1, 0)</f>
        <v>0</v>
      </c>
      <c r="Z405">
        <f>IF(Table1[[#This Row],[airconditioning]]="yes", 1, 0)</f>
        <v>0</v>
      </c>
      <c r="AA405">
        <v>0</v>
      </c>
      <c r="AB405">
        <f>IF(Table1[[#This Row],[prefarea]]= "yes", 1, 0)</f>
        <v>0</v>
      </c>
      <c r="AC405" s="1">
        <v>3500000</v>
      </c>
    </row>
    <row r="406" spans="1:29">
      <c r="A406">
        <v>4900</v>
      </c>
      <c r="B406" t="s">
        <v>17</v>
      </c>
      <c r="C406">
        <v>3</v>
      </c>
      <c r="D406">
        <v>1</v>
      </c>
      <c r="E406">
        <v>2</v>
      </c>
      <c r="F406" t="s">
        <v>14</v>
      </c>
      <c r="G406" t="s">
        <v>14</v>
      </c>
      <c r="H406" t="s">
        <v>14</v>
      </c>
      <c r="I406" t="s">
        <v>14</v>
      </c>
      <c r="J406" t="s">
        <v>14</v>
      </c>
      <c r="K406">
        <v>0</v>
      </c>
      <c r="L406" t="s">
        <v>14</v>
      </c>
      <c r="M406" s="1">
        <v>3493000</v>
      </c>
      <c r="P406">
        <v>4900</v>
      </c>
      <c r="Q406">
        <f>IF(Table1[[#This Row],[furnishingstatus]]="furnished", 1, 0)</f>
        <v>0</v>
      </c>
      <c r="R406">
        <f>IF(Table1[[#This Row],[furnishingstatus]]="semi-furnished", 1, 0)</f>
        <v>0</v>
      </c>
      <c r="S406">
        <v>3</v>
      </c>
      <c r="T406">
        <v>1</v>
      </c>
      <c r="U406">
        <v>2</v>
      </c>
      <c r="V406">
        <f>IF(Table1[[#This Row],[mainroad]] = "yes", 1, 0)</f>
        <v>0</v>
      </c>
      <c r="W406">
        <f>IF(Table1[[#This Row],[guestroom]]= "yes", 1, 0)</f>
        <v>0</v>
      </c>
      <c r="X406">
        <f>IF(Table1[[#This Row],[basement]]="yes", 1, 0)</f>
        <v>0</v>
      </c>
      <c r="Y406">
        <f>IF(Table1[[#This Row],[hotwaterheating]]="yes", 1, 0)</f>
        <v>0</v>
      </c>
      <c r="Z406">
        <f>IF(Table1[[#This Row],[airconditioning]]="yes", 1, 0)</f>
        <v>0</v>
      </c>
      <c r="AA406">
        <v>0</v>
      </c>
      <c r="AB406">
        <f>IF(Table1[[#This Row],[prefarea]]= "yes", 1, 0)</f>
        <v>0</v>
      </c>
      <c r="AC406" s="1">
        <v>3493000</v>
      </c>
    </row>
    <row r="407" spans="1:29">
      <c r="A407">
        <v>3060</v>
      </c>
      <c r="B407" t="s">
        <v>17</v>
      </c>
      <c r="C407">
        <v>3</v>
      </c>
      <c r="D407">
        <v>1</v>
      </c>
      <c r="E407">
        <v>1</v>
      </c>
      <c r="F407" t="s">
        <v>13</v>
      </c>
      <c r="G407" t="s">
        <v>14</v>
      </c>
      <c r="H407" t="s">
        <v>14</v>
      </c>
      <c r="I407" t="s">
        <v>14</v>
      </c>
      <c r="J407" t="s">
        <v>14</v>
      </c>
      <c r="K407">
        <v>0</v>
      </c>
      <c r="L407" t="s">
        <v>14</v>
      </c>
      <c r="M407" s="1">
        <v>3465000</v>
      </c>
      <c r="P407">
        <v>3060</v>
      </c>
      <c r="Q407">
        <f>IF(Table1[[#This Row],[furnishingstatus]]="furnished", 1, 0)</f>
        <v>0</v>
      </c>
      <c r="R407">
        <f>IF(Table1[[#This Row],[furnishingstatus]]="semi-furnished", 1, 0)</f>
        <v>0</v>
      </c>
      <c r="S407">
        <v>3</v>
      </c>
      <c r="T407">
        <v>1</v>
      </c>
      <c r="U407">
        <v>1</v>
      </c>
      <c r="V407">
        <f>IF(Table1[[#This Row],[mainroad]] = "yes", 1, 0)</f>
        <v>1</v>
      </c>
      <c r="W407">
        <f>IF(Table1[[#This Row],[guestroom]]= "yes", 1, 0)</f>
        <v>0</v>
      </c>
      <c r="X407">
        <f>IF(Table1[[#This Row],[basement]]="yes", 1, 0)</f>
        <v>0</v>
      </c>
      <c r="Y407">
        <f>IF(Table1[[#This Row],[hotwaterheating]]="yes", 1, 0)</f>
        <v>0</v>
      </c>
      <c r="Z407">
        <f>IF(Table1[[#This Row],[airconditioning]]="yes", 1, 0)</f>
        <v>0</v>
      </c>
      <c r="AA407">
        <v>0</v>
      </c>
      <c r="AB407">
        <f>IF(Table1[[#This Row],[prefarea]]= "yes", 1, 0)</f>
        <v>0</v>
      </c>
      <c r="AC407" s="1">
        <v>3465000</v>
      </c>
    </row>
    <row r="408" spans="1:29">
      <c r="A408">
        <v>5320</v>
      </c>
      <c r="B408" t="s">
        <v>17</v>
      </c>
      <c r="C408">
        <v>2</v>
      </c>
      <c r="D408">
        <v>1</v>
      </c>
      <c r="E408">
        <v>1</v>
      </c>
      <c r="F408" t="s">
        <v>13</v>
      </c>
      <c r="G408" t="s">
        <v>14</v>
      </c>
      <c r="H408" t="s">
        <v>14</v>
      </c>
      <c r="I408" t="s">
        <v>14</v>
      </c>
      <c r="J408" t="s">
        <v>14</v>
      </c>
      <c r="K408">
        <v>1</v>
      </c>
      <c r="L408" t="s">
        <v>13</v>
      </c>
      <c r="M408" s="1">
        <v>3465000</v>
      </c>
      <c r="P408">
        <v>5320</v>
      </c>
      <c r="Q408">
        <f>IF(Table1[[#This Row],[furnishingstatus]]="furnished", 1, 0)</f>
        <v>0</v>
      </c>
      <c r="R408">
        <f>IF(Table1[[#This Row],[furnishingstatus]]="semi-furnished", 1, 0)</f>
        <v>0</v>
      </c>
      <c r="S408">
        <v>2</v>
      </c>
      <c r="T408">
        <v>1</v>
      </c>
      <c r="U408">
        <v>1</v>
      </c>
      <c r="V408">
        <f>IF(Table1[[#This Row],[mainroad]] = "yes", 1, 0)</f>
        <v>1</v>
      </c>
      <c r="W408">
        <f>IF(Table1[[#This Row],[guestroom]]= "yes", 1, 0)</f>
        <v>0</v>
      </c>
      <c r="X408">
        <f>IF(Table1[[#This Row],[basement]]="yes", 1, 0)</f>
        <v>0</v>
      </c>
      <c r="Y408">
        <f>IF(Table1[[#This Row],[hotwaterheating]]="yes", 1, 0)</f>
        <v>0</v>
      </c>
      <c r="Z408">
        <f>IF(Table1[[#This Row],[airconditioning]]="yes", 1, 0)</f>
        <v>0</v>
      </c>
      <c r="AA408">
        <v>1</v>
      </c>
      <c r="AB408">
        <f>IF(Table1[[#This Row],[prefarea]]= "yes", 1, 0)</f>
        <v>1</v>
      </c>
      <c r="AC408" s="1">
        <v>3465000</v>
      </c>
    </row>
    <row r="409" spans="1:29">
      <c r="A409">
        <v>2145</v>
      </c>
      <c r="B409" t="s">
        <v>15</v>
      </c>
      <c r="C409">
        <v>3</v>
      </c>
      <c r="D409">
        <v>1</v>
      </c>
      <c r="E409">
        <v>3</v>
      </c>
      <c r="F409" t="s">
        <v>13</v>
      </c>
      <c r="G409" t="s">
        <v>14</v>
      </c>
      <c r="H409" t="s">
        <v>14</v>
      </c>
      <c r="I409" t="s">
        <v>14</v>
      </c>
      <c r="J409" t="s">
        <v>14</v>
      </c>
      <c r="K409">
        <v>0</v>
      </c>
      <c r="L409" t="s">
        <v>13</v>
      </c>
      <c r="M409" s="1">
        <v>3465000</v>
      </c>
      <c r="P409">
        <v>2145</v>
      </c>
      <c r="Q409">
        <f>IF(Table1[[#This Row],[furnishingstatus]]="furnished", 1, 0)</f>
        <v>1</v>
      </c>
      <c r="R409">
        <f>IF(Table1[[#This Row],[furnishingstatus]]="semi-furnished", 1, 0)</f>
        <v>0</v>
      </c>
      <c r="S409">
        <v>3</v>
      </c>
      <c r="T409">
        <v>1</v>
      </c>
      <c r="U409">
        <v>3</v>
      </c>
      <c r="V409">
        <f>IF(Table1[[#This Row],[mainroad]] = "yes", 1, 0)</f>
        <v>1</v>
      </c>
      <c r="W409">
        <f>IF(Table1[[#This Row],[guestroom]]= "yes", 1, 0)</f>
        <v>0</v>
      </c>
      <c r="X409">
        <f>IF(Table1[[#This Row],[basement]]="yes", 1, 0)</f>
        <v>0</v>
      </c>
      <c r="Y409">
        <f>IF(Table1[[#This Row],[hotwaterheating]]="yes", 1, 0)</f>
        <v>0</v>
      </c>
      <c r="Z409">
        <f>IF(Table1[[#This Row],[airconditioning]]="yes", 1, 0)</f>
        <v>0</v>
      </c>
      <c r="AA409">
        <v>0</v>
      </c>
      <c r="AB409">
        <f>IF(Table1[[#This Row],[prefarea]]= "yes", 1, 0)</f>
        <v>1</v>
      </c>
      <c r="AC409" s="1">
        <v>3465000</v>
      </c>
    </row>
    <row r="410" spans="1:29">
      <c r="A410">
        <v>4000</v>
      </c>
      <c r="B410" t="s">
        <v>17</v>
      </c>
      <c r="C410">
        <v>2</v>
      </c>
      <c r="D410">
        <v>1</v>
      </c>
      <c r="E410">
        <v>1</v>
      </c>
      <c r="F410" t="s">
        <v>13</v>
      </c>
      <c r="G410" t="s">
        <v>14</v>
      </c>
      <c r="H410" t="s">
        <v>14</v>
      </c>
      <c r="I410" t="s">
        <v>14</v>
      </c>
      <c r="J410" t="s">
        <v>14</v>
      </c>
      <c r="K410">
        <v>0</v>
      </c>
      <c r="L410" t="s">
        <v>14</v>
      </c>
      <c r="M410" s="1">
        <v>3430000</v>
      </c>
      <c r="P410">
        <v>4000</v>
      </c>
      <c r="Q410">
        <f>IF(Table1[[#This Row],[furnishingstatus]]="furnished", 1, 0)</f>
        <v>0</v>
      </c>
      <c r="R410">
        <f>IF(Table1[[#This Row],[furnishingstatus]]="semi-furnished", 1, 0)</f>
        <v>0</v>
      </c>
      <c r="S410">
        <v>2</v>
      </c>
      <c r="T410">
        <v>1</v>
      </c>
      <c r="U410">
        <v>1</v>
      </c>
      <c r="V410">
        <f>IF(Table1[[#This Row],[mainroad]] = "yes", 1, 0)</f>
        <v>1</v>
      </c>
      <c r="W410">
        <f>IF(Table1[[#This Row],[guestroom]]= "yes", 1, 0)</f>
        <v>0</v>
      </c>
      <c r="X410">
        <f>IF(Table1[[#This Row],[basement]]="yes", 1, 0)</f>
        <v>0</v>
      </c>
      <c r="Y410">
        <f>IF(Table1[[#This Row],[hotwaterheating]]="yes", 1, 0)</f>
        <v>0</v>
      </c>
      <c r="Z410">
        <f>IF(Table1[[#This Row],[airconditioning]]="yes", 1, 0)</f>
        <v>0</v>
      </c>
      <c r="AA410">
        <v>0</v>
      </c>
      <c r="AB410">
        <f>IF(Table1[[#This Row],[prefarea]]= "yes", 1, 0)</f>
        <v>0</v>
      </c>
      <c r="AC410" s="1">
        <v>3430000</v>
      </c>
    </row>
    <row r="411" spans="1:29">
      <c r="A411">
        <v>3185</v>
      </c>
      <c r="B411" t="s">
        <v>17</v>
      </c>
      <c r="C411">
        <v>2</v>
      </c>
      <c r="D411">
        <v>1</v>
      </c>
      <c r="E411">
        <v>1</v>
      </c>
      <c r="F411" t="s">
        <v>13</v>
      </c>
      <c r="G411" t="s">
        <v>14</v>
      </c>
      <c r="H411" t="s">
        <v>14</v>
      </c>
      <c r="I411" t="s">
        <v>14</v>
      </c>
      <c r="J411" t="s">
        <v>14</v>
      </c>
      <c r="K411">
        <v>2</v>
      </c>
      <c r="L411" t="s">
        <v>14</v>
      </c>
      <c r="M411" s="1">
        <v>3430000</v>
      </c>
      <c r="P411">
        <v>3185</v>
      </c>
      <c r="Q411">
        <f>IF(Table1[[#This Row],[furnishingstatus]]="furnished", 1, 0)</f>
        <v>0</v>
      </c>
      <c r="R411">
        <f>IF(Table1[[#This Row],[furnishingstatus]]="semi-furnished", 1, 0)</f>
        <v>0</v>
      </c>
      <c r="S411">
        <v>2</v>
      </c>
      <c r="T411">
        <v>1</v>
      </c>
      <c r="U411">
        <v>1</v>
      </c>
      <c r="V411">
        <f>IF(Table1[[#This Row],[mainroad]] = "yes", 1, 0)</f>
        <v>1</v>
      </c>
      <c r="W411">
        <f>IF(Table1[[#This Row],[guestroom]]= "yes", 1, 0)</f>
        <v>0</v>
      </c>
      <c r="X411">
        <f>IF(Table1[[#This Row],[basement]]="yes", 1, 0)</f>
        <v>0</v>
      </c>
      <c r="Y411">
        <f>IF(Table1[[#This Row],[hotwaterheating]]="yes", 1, 0)</f>
        <v>0</v>
      </c>
      <c r="Z411">
        <f>IF(Table1[[#This Row],[airconditioning]]="yes", 1, 0)</f>
        <v>0</v>
      </c>
      <c r="AA411">
        <v>2</v>
      </c>
      <c r="AB411">
        <f>IF(Table1[[#This Row],[prefarea]]= "yes", 1, 0)</f>
        <v>0</v>
      </c>
      <c r="AC411" s="1">
        <v>3430000</v>
      </c>
    </row>
    <row r="412" spans="1:29">
      <c r="A412">
        <v>3850</v>
      </c>
      <c r="B412" t="s">
        <v>17</v>
      </c>
      <c r="C412">
        <v>3</v>
      </c>
      <c r="D412">
        <v>1</v>
      </c>
      <c r="E412">
        <v>1</v>
      </c>
      <c r="F412" t="s">
        <v>13</v>
      </c>
      <c r="G412" t="s">
        <v>14</v>
      </c>
      <c r="H412" t="s">
        <v>14</v>
      </c>
      <c r="I412" t="s">
        <v>14</v>
      </c>
      <c r="J412" t="s">
        <v>14</v>
      </c>
      <c r="K412">
        <v>0</v>
      </c>
      <c r="L412" t="s">
        <v>14</v>
      </c>
      <c r="M412" s="1">
        <v>3430000</v>
      </c>
      <c r="P412">
        <v>3850</v>
      </c>
      <c r="Q412">
        <f>IF(Table1[[#This Row],[furnishingstatus]]="furnished", 1, 0)</f>
        <v>0</v>
      </c>
      <c r="R412">
        <f>IF(Table1[[#This Row],[furnishingstatus]]="semi-furnished", 1, 0)</f>
        <v>0</v>
      </c>
      <c r="S412">
        <v>3</v>
      </c>
      <c r="T412">
        <v>1</v>
      </c>
      <c r="U412">
        <v>1</v>
      </c>
      <c r="V412">
        <f>IF(Table1[[#This Row],[mainroad]] = "yes", 1, 0)</f>
        <v>1</v>
      </c>
      <c r="W412">
        <f>IF(Table1[[#This Row],[guestroom]]= "yes", 1, 0)</f>
        <v>0</v>
      </c>
      <c r="X412">
        <f>IF(Table1[[#This Row],[basement]]="yes", 1, 0)</f>
        <v>0</v>
      </c>
      <c r="Y412">
        <f>IF(Table1[[#This Row],[hotwaterheating]]="yes", 1, 0)</f>
        <v>0</v>
      </c>
      <c r="Z412">
        <f>IF(Table1[[#This Row],[airconditioning]]="yes", 1, 0)</f>
        <v>0</v>
      </c>
      <c r="AA412">
        <v>0</v>
      </c>
      <c r="AB412">
        <f>IF(Table1[[#This Row],[prefarea]]= "yes", 1, 0)</f>
        <v>0</v>
      </c>
      <c r="AC412" s="1">
        <v>3430000</v>
      </c>
    </row>
    <row r="413" spans="1:29">
      <c r="A413">
        <v>2145</v>
      </c>
      <c r="B413" t="s">
        <v>15</v>
      </c>
      <c r="C413">
        <v>3</v>
      </c>
      <c r="D413">
        <v>1</v>
      </c>
      <c r="E413">
        <v>3</v>
      </c>
      <c r="F413" t="s">
        <v>13</v>
      </c>
      <c r="G413" t="s">
        <v>14</v>
      </c>
      <c r="H413" t="s">
        <v>14</v>
      </c>
      <c r="I413" t="s">
        <v>14</v>
      </c>
      <c r="J413" t="s">
        <v>14</v>
      </c>
      <c r="K413">
        <v>0</v>
      </c>
      <c r="L413" t="s">
        <v>13</v>
      </c>
      <c r="M413" s="1">
        <v>3430000</v>
      </c>
      <c r="P413">
        <v>2145</v>
      </c>
      <c r="Q413">
        <f>IF(Table1[[#This Row],[furnishingstatus]]="furnished", 1, 0)</f>
        <v>1</v>
      </c>
      <c r="R413">
        <f>IF(Table1[[#This Row],[furnishingstatus]]="semi-furnished", 1, 0)</f>
        <v>0</v>
      </c>
      <c r="S413">
        <v>3</v>
      </c>
      <c r="T413">
        <v>1</v>
      </c>
      <c r="U413">
        <v>3</v>
      </c>
      <c r="V413">
        <f>IF(Table1[[#This Row],[mainroad]] = "yes", 1, 0)</f>
        <v>1</v>
      </c>
      <c r="W413">
        <f>IF(Table1[[#This Row],[guestroom]]= "yes", 1, 0)</f>
        <v>0</v>
      </c>
      <c r="X413">
        <f>IF(Table1[[#This Row],[basement]]="yes", 1, 0)</f>
        <v>0</v>
      </c>
      <c r="Y413">
        <f>IF(Table1[[#This Row],[hotwaterheating]]="yes", 1, 0)</f>
        <v>0</v>
      </c>
      <c r="Z413">
        <f>IF(Table1[[#This Row],[airconditioning]]="yes", 1, 0)</f>
        <v>0</v>
      </c>
      <c r="AA413">
        <v>0</v>
      </c>
      <c r="AB413">
        <f>IF(Table1[[#This Row],[prefarea]]= "yes", 1, 0)</f>
        <v>1</v>
      </c>
      <c r="AC413" s="1">
        <v>3430000</v>
      </c>
    </row>
    <row r="414" spans="1:29">
      <c r="A414">
        <v>2610</v>
      </c>
      <c r="B414" t="s">
        <v>17</v>
      </c>
      <c r="C414">
        <v>3</v>
      </c>
      <c r="D414">
        <v>1</v>
      </c>
      <c r="E414">
        <v>2</v>
      </c>
      <c r="F414" t="s">
        <v>13</v>
      </c>
      <c r="G414" t="s">
        <v>14</v>
      </c>
      <c r="H414" t="s">
        <v>13</v>
      </c>
      <c r="I414" t="s">
        <v>14</v>
      </c>
      <c r="J414" t="s">
        <v>14</v>
      </c>
      <c r="K414">
        <v>0</v>
      </c>
      <c r="L414" t="s">
        <v>13</v>
      </c>
      <c r="M414" s="1">
        <v>3430000</v>
      </c>
      <c r="P414">
        <v>2610</v>
      </c>
      <c r="Q414">
        <f>IF(Table1[[#This Row],[furnishingstatus]]="furnished", 1, 0)</f>
        <v>0</v>
      </c>
      <c r="R414">
        <f>IF(Table1[[#This Row],[furnishingstatus]]="semi-furnished", 1, 0)</f>
        <v>0</v>
      </c>
      <c r="S414">
        <v>3</v>
      </c>
      <c r="T414">
        <v>1</v>
      </c>
      <c r="U414">
        <v>2</v>
      </c>
      <c r="V414">
        <f>IF(Table1[[#This Row],[mainroad]] = "yes", 1, 0)</f>
        <v>1</v>
      </c>
      <c r="W414">
        <f>IF(Table1[[#This Row],[guestroom]]= "yes", 1, 0)</f>
        <v>0</v>
      </c>
      <c r="X414">
        <f>IF(Table1[[#This Row],[basement]]="yes", 1, 0)</f>
        <v>1</v>
      </c>
      <c r="Y414">
        <f>IF(Table1[[#This Row],[hotwaterheating]]="yes", 1, 0)</f>
        <v>0</v>
      </c>
      <c r="Z414">
        <f>IF(Table1[[#This Row],[airconditioning]]="yes", 1, 0)</f>
        <v>0</v>
      </c>
      <c r="AA414">
        <v>0</v>
      </c>
      <c r="AB414">
        <f>IF(Table1[[#This Row],[prefarea]]= "yes", 1, 0)</f>
        <v>1</v>
      </c>
      <c r="AC414" s="1">
        <v>3430000</v>
      </c>
    </row>
    <row r="415" spans="1:29">
      <c r="A415">
        <v>1950</v>
      </c>
      <c r="B415" t="s">
        <v>17</v>
      </c>
      <c r="C415">
        <v>3</v>
      </c>
      <c r="D415">
        <v>2</v>
      </c>
      <c r="E415">
        <v>2</v>
      </c>
      <c r="F415" t="s">
        <v>13</v>
      </c>
      <c r="G415" t="s">
        <v>14</v>
      </c>
      <c r="H415" t="s">
        <v>13</v>
      </c>
      <c r="I415" t="s">
        <v>14</v>
      </c>
      <c r="J415" t="s">
        <v>14</v>
      </c>
      <c r="K415">
        <v>0</v>
      </c>
      <c r="L415" t="s">
        <v>13</v>
      </c>
      <c r="M415" s="1">
        <v>3430000</v>
      </c>
      <c r="P415">
        <v>1950</v>
      </c>
      <c r="Q415">
        <f>IF(Table1[[#This Row],[furnishingstatus]]="furnished", 1, 0)</f>
        <v>0</v>
      </c>
      <c r="R415">
        <f>IF(Table1[[#This Row],[furnishingstatus]]="semi-furnished", 1, 0)</f>
        <v>0</v>
      </c>
      <c r="S415">
        <v>3</v>
      </c>
      <c r="T415">
        <v>2</v>
      </c>
      <c r="U415">
        <v>2</v>
      </c>
      <c r="V415">
        <f>IF(Table1[[#This Row],[mainroad]] = "yes", 1, 0)</f>
        <v>1</v>
      </c>
      <c r="W415">
        <f>IF(Table1[[#This Row],[guestroom]]= "yes", 1, 0)</f>
        <v>0</v>
      </c>
      <c r="X415">
        <f>IF(Table1[[#This Row],[basement]]="yes", 1, 0)</f>
        <v>1</v>
      </c>
      <c r="Y415">
        <f>IF(Table1[[#This Row],[hotwaterheating]]="yes", 1, 0)</f>
        <v>0</v>
      </c>
      <c r="Z415">
        <f>IF(Table1[[#This Row],[airconditioning]]="yes", 1, 0)</f>
        <v>0</v>
      </c>
      <c r="AA415">
        <v>0</v>
      </c>
      <c r="AB415">
        <f>IF(Table1[[#This Row],[prefarea]]= "yes", 1, 0)</f>
        <v>1</v>
      </c>
      <c r="AC415" s="1">
        <v>3430000</v>
      </c>
    </row>
    <row r="416" spans="1:29">
      <c r="A416">
        <v>4040</v>
      </c>
      <c r="B416" t="s">
        <v>17</v>
      </c>
      <c r="C416">
        <v>2</v>
      </c>
      <c r="D416">
        <v>1</v>
      </c>
      <c r="E416">
        <v>1</v>
      </c>
      <c r="F416" t="s">
        <v>13</v>
      </c>
      <c r="G416" t="s">
        <v>14</v>
      </c>
      <c r="H416" t="s">
        <v>14</v>
      </c>
      <c r="I416" t="s">
        <v>14</v>
      </c>
      <c r="J416" t="s">
        <v>14</v>
      </c>
      <c r="K416">
        <v>0</v>
      </c>
      <c r="L416" t="s">
        <v>14</v>
      </c>
      <c r="M416" s="1">
        <v>3423000</v>
      </c>
      <c r="P416">
        <v>4040</v>
      </c>
      <c r="Q416">
        <f>IF(Table1[[#This Row],[furnishingstatus]]="furnished", 1, 0)</f>
        <v>0</v>
      </c>
      <c r="R416">
        <f>IF(Table1[[#This Row],[furnishingstatus]]="semi-furnished", 1, 0)</f>
        <v>0</v>
      </c>
      <c r="S416">
        <v>2</v>
      </c>
      <c r="T416">
        <v>1</v>
      </c>
      <c r="U416">
        <v>1</v>
      </c>
      <c r="V416">
        <f>IF(Table1[[#This Row],[mainroad]] = "yes", 1, 0)</f>
        <v>1</v>
      </c>
      <c r="W416">
        <f>IF(Table1[[#This Row],[guestroom]]= "yes", 1, 0)</f>
        <v>0</v>
      </c>
      <c r="X416">
        <f>IF(Table1[[#This Row],[basement]]="yes", 1, 0)</f>
        <v>0</v>
      </c>
      <c r="Y416">
        <f>IF(Table1[[#This Row],[hotwaterheating]]="yes", 1, 0)</f>
        <v>0</v>
      </c>
      <c r="Z416">
        <f>IF(Table1[[#This Row],[airconditioning]]="yes", 1, 0)</f>
        <v>0</v>
      </c>
      <c r="AA416">
        <v>0</v>
      </c>
      <c r="AB416">
        <f>IF(Table1[[#This Row],[prefarea]]= "yes", 1, 0)</f>
        <v>0</v>
      </c>
      <c r="AC416" s="1">
        <v>3423000</v>
      </c>
    </row>
    <row r="417" spans="1:29">
      <c r="A417">
        <v>4785</v>
      </c>
      <c r="B417" t="s">
        <v>15</v>
      </c>
      <c r="C417">
        <v>3</v>
      </c>
      <c r="D417">
        <v>1</v>
      </c>
      <c r="E417">
        <v>2</v>
      </c>
      <c r="F417" t="s">
        <v>13</v>
      </c>
      <c r="G417" t="s">
        <v>13</v>
      </c>
      <c r="H417" t="s">
        <v>13</v>
      </c>
      <c r="I417" t="s">
        <v>14</v>
      </c>
      <c r="J417" t="s">
        <v>13</v>
      </c>
      <c r="K417">
        <v>1</v>
      </c>
      <c r="L417" t="s">
        <v>14</v>
      </c>
      <c r="M417" s="1">
        <v>3395000</v>
      </c>
      <c r="P417">
        <v>4785</v>
      </c>
      <c r="Q417">
        <f>IF(Table1[[#This Row],[furnishingstatus]]="furnished", 1, 0)</f>
        <v>1</v>
      </c>
      <c r="R417">
        <f>IF(Table1[[#This Row],[furnishingstatus]]="semi-furnished", 1, 0)</f>
        <v>0</v>
      </c>
      <c r="S417">
        <v>3</v>
      </c>
      <c r="T417">
        <v>1</v>
      </c>
      <c r="U417">
        <v>2</v>
      </c>
      <c r="V417">
        <f>IF(Table1[[#This Row],[mainroad]] = "yes", 1, 0)</f>
        <v>1</v>
      </c>
      <c r="W417">
        <f>IF(Table1[[#This Row],[guestroom]]= "yes", 1, 0)</f>
        <v>1</v>
      </c>
      <c r="X417">
        <f>IF(Table1[[#This Row],[basement]]="yes", 1, 0)</f>
        <v>1</v>
      </c>
      <c r="Y417">
        <f>IF(Table1[[#This Row],[hotwaterheating]]="yes", 1, 0)</f>
        <v>0</v>
      </c>
      <c r="Z417">
        <f>IF(Table1[[#This Row],[airconditioning]]="yes", 1, 0)</f>
        <v>1</v>
      </c>
      <c r="AA417">
        <v>1</v>
      </c>
      <c r="AB417">
        <f>IF(Table1[[#This Row],[prefarea]]= "yes", 1, 0)</f>
        <v>0</v>
      </c>
      <c r="AC417" s="1">
        <v>3395000</v>
      </c>
    </row>
    <row r="418" spans="1:29">
      <c r="A418">
        <v>3450</v>
      </c>
      <c r="B418" t="s">
        <v>17</v>
      </c>
      <c r="C418">
        <v>3</v>
      </c>
      <c r="D418">
        <v>1</v>
      </c>
      <c r="E418">
        <v>1</v>
      </c>
      <c r="F418" t="s">
        <v>13</v>
      </c>
      <c r="G418" t="s">
        <v>14</v>
      </c>
      <c r="H418" t="s">
        <v>13</v>
      </c>
      <c r="I418" t="s">
        <v>14</v>
      </c>
      <c r="J418" t="s">
        <v>14</v>
      </c>
      <c r="K418">
        <v>2</v>
      </c>
      <c r="L418" t="s">
        <v>14</v>
      </c>
      <c r="M418" s="1">
        <v>3395000</v>
      </c>
      <c r="P418">
        <v>3450</v>
      </c>
      <c r="Q418">
        <f>IF(Table1[[#This Row],[furnishingstatus]]="furnished", 1, 0)</f>
        <v>0</v>
      </c>
      <c r="R418">
        <f>IF(Table1[[#This Row],[furnishingstatus]]="semi-furnished", 1, 0)</f>
        <v>0</v>
      </c>
      <c r="S418">
        <v>3</v>
      </c>
      <c r="T418">
        <v>1</v>
      </c>
      <c r="U418">
        <v>1</v>
      </c>
      <c r="V418">
        <f>IF(Table1[[#This Row],[mainroad]] = "yes", 1, 0)</f>
        <v>1</v>
      </c>
      <c r="W418">
        <f>IF(Table1[[#This Row],[guestroom]]= "yes", 1, 0)</f>
        <v>0</v>
      </c>
      <c r="X418">
        <f>IF(Table1[[#This Row],[basement]]="yes", 1, 0)</f>
        <v>1</v>
      </c>
      <c r="Y418">
        <f>IF(Table1[[#This Row],[hotwaterheating]]="yes", 1, 0)</f>
        <v>0</v>
      </c>
      <c r="Z418">
        <f>IF(Table1[[#This Row],[airconditioning]]="yes", 1, 0)</f>
        <v>0</v>
      </c>
      <c r="AA418">
        <v>2</v>
      </c>
      <c r="AB418">
        <f>IF(Table1[[#This Row],[prefarea]]= "yes", 1, 0)</f>
        <v>0</v>
      </c>
      <c r="AC418" s="1">
        <v>3395000</v>
      </c>
    </row>
    <row r="419" spans="1:29">
      <c r="A419">
        <v>3640</v>
      </c>
      <c r="B419" t="s">
        <v>15</v>
      </c>
      <c r="C419">
        <v>2</v>
      </c>
      <c r="D419">
        <v>1</v>
      </c>
      <c r="E419">
        <v>1</v>
      </c>
      <c r="F419" t="s">
        <v>13</v>
      </c>
      <c r="G419" t="s">
        <v>14</v>
      </c>
      <c r="H419" t="s">
        <v>14</v>
      </c>
      <c r="I419" t="s">
        <v>14</v>
      </c>
      <c r="J419" t="s">
        <v>14</v>
      </c>
      <c r="K419">
        <v>0</v>
      </c>
      <c r="L419" t="s">
        <v>14</v>
      </c>
      <c r="M419" s="1">
        <v>3395000</v>
      </c>
      <c r="P419">
        <v>3640</v>
      </c>
      <c r="Q419">
        <f>IF(Table1[[#This Row],[furnishingstatus]]="furnished", 1, 0)</f>
        <v>1</v>
      </c>
      <c r="R419">
        <f>IF(Table1[[#This Row],[furnishingstatus]]="semi-furnished", 1, 0)</f>
        <v>0</v>
      </c>
      <c r="S419">
        <v>2</v>
      </c>
      <c r="T419">
        <v>1</v>
      </c>
      <c r="U419">
        <v>1</v>
      </c>
      <c r="V419">
        <f>IF(Table1[[#This Row],[mainroad]] = "yes", 1, 0)</f>
        <v>1</v>
      </c>
      <c r="W419">
        <f>IF(Table1[[#This Row],[guestroom]]= "yes", 1, 0)</f>
        <v>0</v>
      </c>
      <c r="X419">
        <f>IF(Table1[[#This Row],[basement]]="yes", 1, 0)</f>
        <v>0</v>
      </c>
      <c r="Y419">
        <f>IF(Table1[[#This Row],[hotwaterheating]]="yes", 1, 0)</f>
        <v>0</v>
      </c>
      <c r="Z419">
        <f>IF(Table1[[#This Row],[airconditioning]]="yes", 1, 0)</f>
        <v>0</v>
      </c>
      <c r="AA419">
        <v>0</v>
      </c>
      <c r="AB419">
        <f>IF(Table1[[#This Row],[prefarea]]= "yes", 1, 0)</f>
        <v>0</v>
      </c>
      <c r="AC419" s="1">
        <v>3395000</v>
      </c>
    </row>
    <row r="420" spans="1:29">
      <c r="A420">
        <v>3500</v>
      </c>
      <c r="B420" t="s">
        <v>17</v>
      </c>
      <c r="C420">
        <v>4</v>
      </c>
      <c r="D420">
        <v>1</v>
      </c>
      <c r="E420">
        <v>2</v>
      </c>
      <c r="F420" t="s">
        <v>13</v>
      </c>
      <c r="G420" t="s">
        <v>14</v>
      </c>
      <c r="H420" t="s">
        <v>14</v>
      </c>
      <c r="I420" t="s">
        <v>14</v>
      </c>
      <c r="J420" t="s">
        <v>13</v>
      </c>
      <c r="K420">
        <v>2</v>
      </c>
      <c r="L420" t="s">
        <v>14</v>
      </c>
      <c r="M420" s="1">
        <v>3360000</v>
      </c>
      <c r="P420">
        <v>3500</v>
      </c>
      <c r="Q420">
        <f>IF(Table1[[#This Row],[furnishingstatus]]="furnished", 1, 0)</f>
        <v>0</v>
      </c>
      <c r="R420">
        <f>IF(Table1[[#This Row],[furnishingstatus]]="semi-furnished", 1, 0)</f>
        <v>0</v>
      </c>
      <c r="S420">
        <v>4</v>
      </c>
      <c r="T420">
        <v>1</v>
      </c>
      <c r="U420">
        <v>2</v>
      </c>
      <c r="V420">
        <f>IF(Table1[[#This Row],[mainroad]] = "yes", 1, 0)</f>
        <v>1</v>
      </c>
      <c r="W420">
        <f>IF(Table1[[#This Row],[guestroom]]= "yes", 1, 0)</f>
        <v>0</v>
      </c>
      <c r="X420">
        <f>IF(Table1[[#This Row],[basement]]="yes", 1, 0)</f>
        <v>0</v>
      </c>
      <c r="Y420">
        <f>IF(Table1[[#This Row],[hotwaterheating]]="yes", 1, 0)</f>
        <v>0</v>
      </c>
      <c r="Z420">
        <f>IF(Table1[[#This Row],[airconditioning]]="yes", 1, 0)</f>
        <v>1</v>
      </c>
      <c r="AA420">
        <v>2</v>
      </c>
      <c r="AB420">
        <f>IF(Table1[[#This Row],[prefarea]]= "yes", 1, 0)</f>
        <v>0</v>
      </c>
      <c r="AC420" s="1">
        <v>3360000</v>
      </c>
    </row>
    <row r="421" spans="1:29">
      <c r="A421">
        <v>4960</v>
      </c>
      <c r="B421" t="s">
        <v>16</v>
      </c>
      <c r="C421">
        <v>4</v>
      </c>
      <c r="D421">
        <v>1</v>
      </c>
      <c r="E421">
        <v>3</v>
      </c>
      <c r="F421" t="s">
        <v>14</v>
      </c>
      <c r="G421" t="s">
        <v>14</v>
      </c>
      <c r="H421" t="s">
        <v>14</v>
      </c>
      <c r="I421" t="s">
        <v>14</v>
      </c>
      <c r="J421" t="s">
        <v>14</v>
      </c>
      <c r="K421">
        <v>0</v>
      </c>
      <c r="L421" t="s">
        <v>14</v>
      </c>
      <c r="M421" s="1">
        <v>3360000</v>
      </c>
      <c r="P421">
        <v>4960</v>
      </c>
      <c r="Q421">
        <f>IF(Table1[[#This Row],[furnishingstatus]]="furnished", 1, 0)</f>
        <v>0</v>
      </c>
      <c r="R421">
        <f>IF(Table1[[#This Row],[furnishingstatus]]="semi-furnished", 1, 0)</f>
        <v>1</v>
      </c>
      <c r="S421">
        <v>4</v>
      </c>
      <c r="T421">
        <v>1</v>
      </c>
      <c r="U421">
        <v>3</v>
      </c>
      <c r="V421">
        <f>IF(Table1[[#This Row],[mainroad]] = "yes", 1, 0)</f>
        <v>0</v>
      </c>
      <c r="W421">
        <f>IF(Table1[[#This Row],[guestroom]]= "yes", 1, 0)</f>
        <v>0</v>
      </c>
      <c r="X421">
        <f>IF(Table1[[#This Row],[basement]]="yes", 1, 0)</f>
        <v>0</v>
      </c>
      <c r="Y421">
        <f>IF(Table1[[#This Row],[hotwaterheating]]="yes", 1, 0)</f>
        <v>0</v>
      </c>
      <c r="Z421">
        <f>IF(Table1[[#This Row],[airconditioning]]="yes", 1, 0)</f>
        <v>0</v>
      </c>
      <c r="AA421">
        <v>0</v>
      </c>
      <c r="AB421">
        <f>IF(Table1[[#This Row],[prefarea]]= "yes", 1, 0)</f>
        <v>0</v>
      </c>
      <c r="AC421" s="1">
        <v>3360000</v>
      </c>
    </row>
    <row r="422" spans="1:29">
      <c r="A422">
        <v>4120</v>
      </c>
      <c r="B422" t="s">
        <v>17</v>
      </c>
      <c r="C422">
        <v>2</v>
      </c>
      <c r="D422">
        <v>1</v>
      </c>
      <c r="E422">
        <v>2</v>
      </c>
      <c r="F422" t="s">
        <v>13</v>
      </c>
      <c r="G422" t="s">
        <v>14</v>
      </c>
      <c r="H422" t="s">
        <v>14</v>
      </c>
      <c r="I422" t="s">
        <v>14</v>
      </c>
      <c r="J422" t="s">
        <v>14</v>
      </c>
      <c r="K422">
        <v>0</v>
      </c>
      <c r="L422" t="s">
        <v>14</v>
      </c>
      <c r="M422" s="1">
        <v>3360000</v>
      </c>
      <c r="P422">
        <v>4120</v>
      </c>
      <c r="Q422">
        <f>IF(Table1[[#This Row],[furnishingstatus]]="furnished", 1, 0)</f>
        <v>0</v>
      </c>
      <c r="R422">
        <f>IF(Table1[[#This Row],[furnishingstatus]]="semi-furnished", 1, 0)</f>
        <v>0</v>
      </c>
      <c r="S422">
        <v>2</v>
      </c>
      <c r="T422">
        <v>1</v>
      </c>
      <c r="U422">
        <v>2</v>
      </c>
      <c r="V422">
        <f>IF(Table1[[#This Row],[mainroad]] = "yes", 1, 0)</f>
        <v>1</v>
      </c>
      <c r="W422">
        <f>IF(Table1[[#This Row],[guestroom]]= "yes", 1, 0)</f>
        <v>0</v>
      </c>
      <c r="X422">
        <f>IF(Table1[[#This Row],[basement]]="yes", 1, 0)</f>
        <v>0</v>
      </c>
      <c r="Y422">
        <f>IF(Table1[[#This Row],[hotwaterheating]]="yes", 1, 0)</f>
        <v>0</v>
      </c>
      <c r="Z422">
        <f>IF(Table1[[#This Row],[airconditioning]]="yes", 1, 0)</f>
        <v>0</v>
      </c>
      <c r="AA422">
        <v>0</v>
      </c>
      <c r="AB422">
        <f>IF(Table1[[#This Row],[prefarea]]= "yes", 1, 0)</f>
        <v>0</v>
      </c>
      <c r="AC422" s="1">
        <v>3360000</v>
      </c>
    </row>
    <row r="423" spans="1:29">
      <c r="A423">
        <v>4750</v>
      </c>
      <c r="B423" t="s">
        <v>17</v>
      </c>
      <c r="C423">
        <v>2</v>
      </c>
      <c r="D423">
        <v>1</v>
      </c>
      <c r="E423">
        <v>1</v>
      </c>
      <c r="F423" t="s">
        <v>13</v>
      </c>
      <c r="G423" t="s">
        <v>14</v>
      </c>
      <c r="H423" t="s">
        <v>14</v>
      </c>
      <c r="I423" t="s">
        <v>14</v>
      </c>
      <c r="J423" t="s">
        <v>14</v>
      </c>
      <c r="K423">
        <v>0</v>
      </c>
      <c r="L423" t="s">
        <v>14</v>
      </c>
      <c r="M423" s="1">
        <v>3360000</v>
      </c>
      <c r="P423">
        <v>4750</v>
      </c>
      <c r="Q423">
        <f>IF(Table1[[#This Row],[furnishingstatus]]="furnished", 1, 0)</f>
        <v>0</v>
      </c>
      <c r="R423">
        <f>IF(Table1[[#This Row],[furnishingstatus]]="semi-furnished", 1, 0)</f>
        <v>0</v>
      </c>
      <c r="S423">
        <v>2</v>
      </c>
      <c r="T423">
        <v>1</v>
      </c>
      <c r="U423">
        <v>1</v>
      </c>
      <c r="V423">
        <f>IF(Table1[[#This Row],[mainroad]] = "yes", 1, 0)</f>
        <v>1</v>
      </c>
      <c r="W423">
        <f>IF(Table1[[#This Row],[guestroom]]= "yes", 1, 0)</f>
        <v>0</v>
      </c>
      <c r="X423">
        <f>IF(Table1[[#This Row],[basement]]="yes", 1, 0)</f>
        <v>0</v>
      </c>
      <c r="Y423">
        <f>IF(Table1[[#This Row],[hotwaterheating]]="yes", 1, 0)</f>
        <v>0</v>
      </c>
      <c r="Z423">
        <f>IF(Table1[[#This Row],[airconditioning]]="yes", 1, 0)</f>
        <v>0</v>
      </c>
      <c r="AA423">
        <v>0</v>
      </c>
      <c r="AB423">
        <f>IF(Table1[[#This Row],[prefarea]]= "yes", 1, 0)</f>
        <v>0</v>
      </c>
      <c r="AC423" s="1">
        <v>3360000</v>
      </c>
    </row>
    <row r="424" spans="1:29">
      <c r="A424">
        <v>3720</v>
      </c>
      <c r="B424" t="s">
        <v>17</v>
      </c>
      <c r="C424">
        <v>2</v>
      </c>
      <c r="D424">
        <v>1</v>
      </c>
      <c r="E424">
        <v>1</v>
      </c>
      <c r="F424" t="s">
        <v>14</v>
      </c>
      <c r="G424" t="s">
        <v>14</v>
      </c>
      <c r="H424" t="s">
        <v>14</v>
      </c>
      <c r="I424" t="s">
        <v>14</v>
      </c>
      <c r="J424" t="s">
        <v>13</v>
      </c>
      <c r="K424">
        <v>0</v>
      </c>
      <c r="L424" t="s">
        <v>14</v>
      </c>
      <c r="M424" s="1">
        <v>3360000</v>
      </c>
      <c r="P424">
        <v>3720</v>
      </c>
      <c r="Q424">
        <f>IF(Table1[[#This Row],[furnishingstatus]]="furnished", 1, 0)</f>
        <v>0</v>
      </c>
      <c r="R424">
        <f>IF(Table1[[#This Row],[furnishingstatus]]="semi-furnished", 1, 0)</f>
        <v>0</v>
      </c>
      <c r="S424">
        <v>2</v>
      </c>
      <c r="T424">
        <v>1</v>
      </c>
      <c r="U424">
        <v>1</v>
      </c>
      <c r="V424">
        <f>IF(Table1[[#This Row],[mainroad]] = "yes", 1, 0)</f>
        <v>0</v>
      </c>
      <c r="W424">
        <f>IF(Table1[[#This Row],[guestroom]]= "yes", 1, 0)</f>
        <v>0</v>
      </c>
      <c r="X424">
        <f>IF(Table1[[#This Row],[basement]]="yes", 1, 0)</f>
        <v>0</v>
      </c>
      <c r="Y424">
        <f>IF(Table1[[#This Row],[hotwaterheating]]="yes", 1, 0)</f>
        <v>0</v>
      </c>
      <c r="Z424">
        <f>IF(Table1[[#This Row],[airconditioning]]="yes", 1, 0)</f>
        <v>1</v>
      </c>
      <c r="AA424">
        <v>0</v>
      </c>
      <c r="AB424">
        <f>IF(Table1[[#This Row],[prefarea]]= "yes", 1, 0)</f>
        <v>0</v>
      </c>
      <c r="AC424" s="1">
        <v>3360000</v>
      </c>
    </row>
    <row r="425" spans="1:29">
      <c r="A425">
        <v>3750</v>
      </c>
      <c r="B425" t="s">
        <v>17</v>
      </c>
      <c r="C425">
        <v>3</v>
      </c>
      <c r="D425">
        <v>1</v>
      </c>
      <c r="E425">
        <v>1</v>
      </c>
      <c r="F425" t="s">
        <v>13</v>
      </c>
      <c r="G425" t="s">
        <v>14</v>
      </c>
      <c r="H425" t="s">
        <v>14</v>
      </c>
      <c r="I425" t="s">
        <v>14</v>
      </c>
      <c r="J425" t="s">
        <v>14</v>
      </c>
      <c r="K425">
        <v>0</v>
      </c>
      <c r="L425" t="s">
        <v>14</v>
      </c>
      <c r="M425" s="1">
        <v>3360000</v>
      </c>
      <c r="P425">
        <v>3750</v>
      </c>
      <c r="Q425">
        <f>IF(Table1[[#This Row],[furnishingstatus]]="furnished", 1, 0)</f>
        <v>0</v>
      </c>
      <c r="R425">
        <f>IF(Table1[[#This Row],[furnishingstatus]]="semi-furnished", 1, 0)</f>
        <v>0</v>
      </c>
      <c r="S425">
        <v>3</v>
      </c>
      <c r="T425">
        <v>1</v>
      </c>
      <c r="U425">
        <v>1</v>
      </c>
      <c r="V425">
        <f>IF(Table1[[#This Row],[mainroad]] = "yes", 1, 0)</f>
        <v>1</v>
      </c>
      <c r="W425">
        <f>IF(Table1[[#This Row],[guestroom]]= "yes", 1, 0)</f>
        <v>0</v>
      </c>
      <c r="X425">
        <f>IF(Table1[[#This Row],[basement]]="yes", 1, 0)</f>
        <v>0</v>
      </c>
      <c r="Y425">
        <f>IF(Table1[[#This Row],[hotwaterheating]]="yes", 1, 0)</f>
        <v>0</v>
      </c>
      <c r="Z425">
        <f>IF(Table1[[#This Row],[airconditioning]]="yes", 1, 0)</f>
        <v>0</v>
      </c>
      <c r="AA425">
        <v>0</v>
      </c>
      <c r="AB425">
        <f>IF(Table1[[#This Row],[prefarea]]= "yes", 1, 0)</f>
        <v>0</v>
      </c>
      <c r="AC425" s="1">
        <v>3360000</v>
      </c>
    </row>
    <row r="426" spans="1:29">
      <c r="A426">
        <v>3100</v>
      </c>
      <c r="B426" t="s">
        <v>16</v>
      </c>
      <c r="C426">
        <v>3</v>
      </c>
      <c r="D426">
        <v>1</v>
      </c>
      <c r="E426">
        <v>2</v>
      </c>
      <c r="F426" t="s">
        <v>14</v>
      </c>
      <c r="G426" t="s">
        <v>14</v>
      </c>
      <c r="H426" t="s">
        <v>13</v>
      </c>
      <c r="I426" t="s">
        <v>14</v>
      </c>
      <c r="J426" t="s">
        <v>14</v>
      </c>
      <c r="K426">
        <v>0</v>
      </c>
      <c r="L426" t="s">
        <v>14</v>
      </c>
      <c r="M426" s="1">
        <v>3360000</v>
      </c>
      <c r="P426">
        <v>3100</v>
      </c>
      <c r="Q426">
        <f>IF(Table1[[#This Row],[furnishingstatus]]="furnished", 1, 0)</f>
        <v>0</v>
      </c>
      <c r="R426">
        <f>IF(Table1[[#This Row],[furnishingstatus]]="semi-furnished", 1, 0)</f>
        <v>1</v>
      </c>
      <c r="S426">
        <v>3</v>
      </c>
      <c r="T426">
        <v>1</v>
      </c>
      <c r="U426">
        <v>2</v>
      </c>
      <c r="V426">
        <f>IF(Table1[[#This Row],[mainroad]] = "yes", 1, 0)</f>
        <v>0</v>
      </c>
      <c r="W426">
        <f>IF(Table1[[#This Row],[guestroom]]= "yes", 1, 0)</f>
        <v>0</v>
      </c>
      <c r="X426">
        <f>IF(Table1[[#This Row],[basement]]="yes", 1, 0)</f>
        <v>1</v>
      </c>
      <c r="Y426">
        <f>IF(Table1[[#This Row],[hotwaterheating]]="yes", 1, 0)</f>
        <v>0</v>
      </c>
      <c r="Z426">
        <f>IF(Table1[[#This Row],[airconditioning]]="yes", 1, 0)</f>
        <v>0</v>
      </c>
      <c r="AA426">
        <v>0</v>
      </c>
      <c r="AB426">
        <f>IF(Table1[[#This Row],[prefarea]]= "yes", 1, 0)</f>
        <v>0</v>
      </c>
      <c r="AC426" s="1">
        <v>3360000</v>
      </c>
    </row>
    <row r="427" spans="1:29">
      <c r="A427">
        <v>3185</v>
      </c>
      <c r="B427" t="s">
        <v>15</v>
      </c>
      <c r="C427">
        <v>2</v>
      </c>
      <c r="D427">
        <v>1</v>
      </c>
      <c r="E427">
        <v>1</v>
      </c>
      <c r="F427" t="s">
        <v>13</v>
      </c>
      <c r="G427" t="s">
        <v>14</v>
      </c>
      <c r="H427" t="s">
        <v>13</v>
      </c>
      <c r="I427" t="s">
        <v>14</v>
      </c>
      <c r="J427" t="s">
        <v>14</v>
      </c>
      <c r="K427">
        <v>2</v>
      </c>
      <c r="L427" t="s">
        <v>14</v>
      </c>
      <c r="M427" s="1">
        <v>3360000</v>
      </c>
      <c r="P427">
        <v>3185</v>
      </c>
      <c r="Q427">
        <f>IF(Table1[[#This Row],[furnishingstatus]]="furnished", 1, 0)</f>
        <v>1</v>
      </c>
      <c r="R427">
        <f>IF(Table1[[#This Row],[furnishingstatus]]="semi-furnished", 1, 0)</f>
        <v>0</v>
      </c>
      <c r="S427">
        <v>2</v>
      </c>
      <c r="T427">
        <v>1</v>
      </c>
      <c r="U427">
        <v>1</v>
      </c>
      <c r="V427">
        <f>IF(Table1[[#This Row],[mainroad]] = "yes", 1, 0)</f>
        <v>1</v>
      </c>
      <c r="W427">
        <f>IF(Table1[[#This Row],[guestroom]]= "yes", 1, 0)</f>
        <v>0</v>
      </c>
      <c r="X427">
        <f>IF(Table1[[#This Row],[basement]]="yes", 1, 0)</f>
        <v>1</v>
      </c>
      <c r="Y427">
        <f>IF(Table1[[#This Row],[hotwaterheating]]="yes", 1, 0)</f>
        <v>0</v>
      </c>
      <c r="Z427">
        <f>IF(Table1[[#This Row],[airconditioning]]="yes", 1, 0)</f>
        <v>0</v>
      </c>
      <c r="AA427">
        <v>2</v>
      </c>
      <c r="AB427">
        <f>IF(Table1[[#This Row],[prefarea]]= "yes", 1, 0)</f>
        <v>0</v>
      </c>
      <c r="AC427" s="1">
        <v>3360000</v>
      </c>
    </row>
    <row r="428" spans="1:29">
      <c r="A428">
        <v>2700</v>
      </c>
      <c r="B428" t="s">
        <v>15</v>
      </c>
      <c r="C428">
        <v>3</v>
      </c>
      <c r="D428">
        <v>1</v>
      </c>
      <c r="E428">
        <v>1</v>
      </c>
      <c r="F428" t="s">
        <v>14</v>
      </c>
      <c r="G428" t="s">
        <v>14</v>
      </c>
      <c r="H428" t="s">
        <v>14</v>
      </c>
      <c r="I428" t="s">
        <v>14</v>
      </c>
      <c r="J428" t="s">
        <v>14</v>
      </c>
      <c r="K428">
        <v>0</v>
      </c>
      <c r="L428" t="s">
        <v>14</v>
      </c>
      <c r="M428" s="1">
        <v>3353000</v>
      </c>
      <c r="P428">
        <v>2700</v>
      </c>
      <c r="Q428">
        <f>IF(Table1[[#This Row],[furnishingstatus]]="furnished", 1, 0)</f>
        <v>1</v>
      </c>
      <c r="R428">
        <f>IF(Table1[[#This Row],[furnishingstatus]]="semi-furnished", 1, 0)</f>
        <v>0</v>
      </c>
      <c r="S428">
        <v>3</v>
      </c>
      <c r="T428">
        <v>1</v>
      </c>
      <c r="U428">
        <v>1</v>
      </c>
      <c r="V428">
        <f>IF(Table1[[#This Row],[mainroad]] = "yes", 1, 0)</f>
        <v>0</v>
      </c>
      <c r="W428">
        <f>IF(Table1[[#This Row],[guestroom]]= "yes", 1, 0)</f>
        <v>0</v>
      </c>
      <c r="X428">
        <f>IF(Table1[[#This Row],[basement]]="yes", 1, 0)</f>
        <v>0</v>
      </c>
      <c r="Y428">
        <f>IF(Table1[[#This Row],[hotwaterheating]]="yes", 1, 0)</f>
        <v>0</v>
      </c>
      <c r="Z428">
        <f>IF(Table1[[#This Row],[airconditioning]]="yes", 1, 0)</f>
        <v>0</v>
      </c>
      <c r="AA428">
        <v>0</v>
      </c>
      <c r="AB428">
        <f>IF(Table1[[#This Row],[prefarea]]= "yes", 1, 0)</f>
        <v>0</v>
      </c>
      <c r="AC428" s="1">
        <v>3353000</v>
      </c>
    </row>
    <row r="429" spans="1:29">
      <c r="A429">
        <v>2145</v>
      </c>
      <c r="B429" t="s">
        <v>15</v>
      </c>
      <c r="C429">
        <v>3</v>
      </c>
      <c r="D429">
        <v>1</v>
      </c>
      <c r="E429">
        <v>2</v>
      </c>
      <c r="F429" t="s">
        <v>13</v>
      </c>
      <c r="G429" t="s">
        <v>14</v>
      </c>
      <c r="H429" t="s">
        <v>13</v>
      </c>
      <c r="I429" t="s">
        <v>14</v>
      </c>
      <c r="J429" t="s">
        <v>14</v>
      </c>
      <c r="K429">
        <v>0</v>
      </c>
      <c r="L429" t="s">
        <v>13</v>
      </c>
      <c r="M429" s="1">
        <v>3332000</v>
      </c>
      <c r="P429">
        <v>2145</v>
      </c>
      <c r="Q429">
        <f>IF(Table1[[#This Row],[furnishingstatus]]="furnished", 1, 0)</f>
        <v>1</v>
      </c>
      <c r="R429">
        <f>IF(Table1[[#This Row],[furnishingstatus]]="semi-furnished", 1, 0)</f>
        <v>0</v>
      </c>
      <c r="S429">
        <v>3</v>
      </c>
      <c r="T429">
        <v>1</v>
      </c>
      <c r="U429">
        <v>2</v>
      </c>
      <c r="V429">
        <f>IF(Table1[[#This Row],[mainroad]] = "yes", 1, 0)</f>
        <v>1</v>
      </c>
      <c r="W429">
        <f>IF(Table1[[#This Row],[guestroom]]= "yes", 1, 0)</f>
        <v>0</v>
      </c>
      <c r="X429">
        <f>IF(Table1[[#This Row],[basement]]="yes", 1, 0)</f>
        <v>1</v>
      </c>
      <c r="Y429">
        <f>IF(Table1[[#This Row],[hotwaterheating]]="yes", 1, 0)</f>
        <v>0</v>
      </c>
      <c r="Z429">
        <f>IF(Table1[[#This Row],[airconditioning]]="yes", 1, 0)</f>
        <v>0</v>
      </c>
      <c r="AA429">
        <v>0</v>
      </c>
      <c r="AB429">
        <f>IF(Table1[[#This Row],[prefarea]]= "yes", 1, 0)</f>
        <v>1</v>
      </c>
      <c r="AC429" s="1">
        <v>3332000</v>
      </c>
    </row>
    <row r="430" spans="1:29">
      <c r="A430">
        <v>4040</v>
      </c>
      <c r="B430" t="s">
        <v>17</v>
      </c>
      <c r="C430">
        <v>2</v>
      </c>
      <c r="D430">
        <v>1</v>
      </c>
      <c r="E430">
        <v>1</v>
      </c>
      <c r="F430" t="s">
        <v>13</v>
      </c>
      <c r="G430" t="s">
        <v>14</v>
      </c>
      <c r="H430" t="s">
        <v>14</v>
      </c>
      <c r="I430" t="s">
        <v>14</v>
      </c>
      <c r="J430" t="s">
        <v>14</v>
      </c>
      <c r="K430">
        <v>1</v>
      </c>
      <c r="L430" t="s">
        <v>14</v>
      </c>
      <c r="M430" s="1">
        <v>3325000</v>
      </c>
      <c r="P430">
        <v>4040</v>
      </c>
      <c r="Q430">
        <f>IF(Table1[[#This Row],[furnishingstatus]]="furnished", 1, 0)</f>
        <v>0</v>
      </c>
      <c r="R430">
        <f>IF(Table1[[#This Row],[furnishingstatus]]="semi-furnished", 1, 0)</f>
        <v>0</v>
      </c>
      <c r="S430">
        <v>2</v>
      </c>
      <c r="T430">
        <v>1</v>
      </c>
      <c r="U430">
        <v>1</v>
      </c>
      <c r="V430">
        <f>IF(Table1[[#This Row],[mainroad]] = "yes", 1, 0)</f>
        <v>1</v>
      </c>
      <c r="W430">
        <f>IF(Table1[[#This Row],[guestroom]]= "yes", 1, 0)</f>
        <v>0</v>
      </c>
      <c r="X430">
        <f>IF(Table1[[#This Row],[basement]]="yes", 1, 0)</f>
        <v>0</v>
      </c>
      <c r="Y430">
        <f>IF(Table1[[#This Row],[hotwaterheating]]="yes", 1, 0)</f>
        <v>0</v>
      </c>
      <c r="Z430">
        <f>IF(Table1[[#This Row],[airconditioning]]="yes", 1, 0)</f>
        <v>0</v>
      </c>
      <c r="AA430">
        <v>1</v>
      </c>
      <c r="AB430">
        <f>IF(Table1[[#This Row],[prefarea]]= "yes", 1, 0)</f>
        <v>0</v>
      </c>
      <c r="AC430" s="1">
        <v>3325000</v>
      </c>
    </row>
    <row r="431" spans="1:29">
      <c r="A431">
        <v>4775</v>
      </c>
      <c r="B431" t="s">
        <v>17</v>
      </c>
      <c r="C431">
        <v>4</v>
      </c>
      <c r="D431">
        <v>1</v>
      </c>
      <c r="E431">
        <v>2</v>
      </c>
      <c r="F431" t="s">
        <v>13</v>
      </c>
      <c r="G431" t="s">
        <v>14</v>
      </c>
      <c r="H431" t="s">
        <v>14</v>
      </c>
      <c r="I431" t="s">
        <v>14</v>
      </c>
      <c r="J431" t="s">
        <v>14</v>
      </c>
      <c r="K431">
        <v>0</v>
      </c>
      <c r="L431" t="s">
        <v>14</v>
      </c>
      <c r="M431" s="1">
        <v>3325000</v>
      </c>
      <c r="P431">
        <v>4775</v>
      </c>
      <c r="Q431">
        <f>IF(Table1[[#This Row],[furnishingstatus]]="furnished", 1, 0)</f>
        <v>0</v>
      </c>
      <c r="R431">
        <f>IF(Table1[[#This Row],[furnishingstatus]]="semi-furnished", 1, 0)</f>
        <v>0</v>
      </c>
      <c r="S431">
        <v>4</v>
      </c>
      <c r="T431">
        <v>1</v>
      </c>
      <c r="U431">
        <v>2</v>
      </c>
      <c r="V431">
        <f>IF(Table1[[#This Row],[mainroad]] = "yes", 1, 0)</f>
        <v>1</v>
      </c>
      <c r="W431">
        <f>IF(Table1[[#This Row],[guestroom]]= "yes", 1, 0)</f>
        <v>0</v>
      </c>
      <c r="X431">
        <f>IF(Table1[[#This Row],[basement]]="yes", 1, 0)</f>
        <v>0</v>
      </c>
      <c r="Y431">
        <f>IF(Table1[[#This Row],[hotwaterheating]]="yes", 1, 0)</f>
        <v>0</v>
      </c>
      <c r="Z431">
        <f>IF(Table1[[#This Row],[airconditioning]]="yes", 1, 0)</f>
        <v>0</v>
      </c>
      <c r="AA431">
        <v>0</v>
      </c>
      <c r="AB431">
        <f>IF(Table1[[#This Row],[prefarea]]= "yes", 1, 0)</f>
        <v>0</v>
      </c>
      <c r="AC431" s="1">
        <v>3325000</v>
      </c>
    </row>
    <row r="432" spans="1:29">
      <c r="A432">
        <v>2500</v>
      </c>
      <c r="B432" t="s">
        <v>17</v>
      </c>
      <c r="C432">
        <v>2</v>
      </c>
      <c r="D432">
        <v>1</v>
      </c>
      <c r="E432">
        <v>1</v>
      </c>
      <c r="F432" t="s">
        <v>14</v>
      </c>
      <c r="G432" t="s">
        <v>14</v>
      </c>
      <c r="H432" t="s">
        <v>14</v>
      </c>
      <c r="I432" t="s">
        <v>14</v>
      </c>
      <c r="J432" t="s">
        <v>13</v>
      </c>
      <c r="K432">
        <v>0</v>
      </c>
      <c r="L432" t="s">
        <v>14</v>
      </c>
      <c r="M432" s="1">
        <v>3290000</v>
      </c>
      <c r="P432">
        <v>2500</v>
      </c>
      <c r="Q432">
        <f>IF(Table1[[#This Row],[furnishingstatus]]="furnished", 1, 0)</f>
        <v>0</v>
      </c>
      <c r="R432">
        <f>IF(Table1[[#This Row],[furnishingstatus]]="semi-furnished", 1, 0)</f>
        <v>0</v>
      </c>
      <c r="S432">
        <v>2</v>
      </c>
      <c r="T432">
        <v>1</v>
      </c>
      <c r="U432">
        <v>1</v>
      </c>
      <c r="V432">
        <f>IF(Table1[[#This Row],[mainroad]] = "yes", 1, 0)</f>
        <v>0</v>
      </c>
      <c r="W432">
        <f>IF(Table1[[#This Row],[guestroom]]= "yes", 1, 0)</f>
        <v>0</v>
      </c>
      <c r="X432">
        <f>IF(Table1[[#This Row],[basement]]="yes", 1, 0)</f>
        <v>0</v>
      </c>
      <c r="Y432">
        <f>IF(Table1[[#This Row],[hotwaterheating]]="yes", 1, 0)</f>
        <v>0</v>
      </c>
      <c r="Z432">
        <f>IF(Table1[[#This Row],[airconditioning]]="yes", 1, 0)</f>
        <v>1</v>
      </c>
      <c r="AA432">
        <v>0</v>
      </c>
      <c r="AB432">
        <f>IF(Table1[[#This Row],[prefarea]]= "yes", 1, 0)</f>
        <v>0</v>
      </c>
      <c r="AC432" s="1">
        <v>3290000</v>
      </c>
    </row>
    <row r="433" spans="1:29">
      <c r="A433">
        <v>3180</v>
      </c>
      <c r="B433" t="s">
        <v>17</v>
      </c>
      <c r="C433">
        <v>4</v>
      </c>
      <c r="D433">
        <v>1</v>
      </c>
      <c r="E433">
        <v>2</v>
      </c>
      <c r="F433" t="s">
        <v>13</v>
      </c>
      <c r="G433" t="s">
        <v>14</v>
      </c>
      <c r="H433" t="s">
        <v>13</v>
      </c>
      <c r="I433" t="s">
        <v>14</v>
      </c>
      <c r="J433" t="s">
        <v>13</v>
      </c>
      <c r="K433">
        <v>0</v>
      </c>
      <c r="L433" t="s">
        <v>14</v>
      </c>
      <c r="M433" s="1">
        <v>3290000</v>
      </c>
      <c r="P433">
        <v>3180</v>
      </c>
      <c r="Q433">
        <f>IF(Table1[[#This Row],[furnishingstatus]]="furnished", 1, 0)</f>
        <v>0</v>
      </c>
      <c r="R433">
        <f>IF(Table1[[#This Row],[furnishingstatus]]="semi-furnished", 1, 0)</f>
        <v>0</v>
      </c>
      <c r="S433">
        <v>4</v>
      </c>
      <c r="T433">
        <v>1</v>
      </c>
      <c r="U433">
        <v>2</v>
      </c>
      <c r="V433">
        <f>IF(Table1[[#This Row],[mainroad]] = "yes", 1, 0)</f>
        <v>1</v>
      </c>
      <c r="W433">
        <f>IF(Table1[[#This Row],[guestroom]]= "yes", 1, 0)</f>
        <v>0</v>
      </c>
      <c r="X433">
        <f>IF(Table1[[#This Row],[basement]]="yes", 1, 0)</f>
        <v>1</v>
      </c>
      <c r="Y433">
        <f>IF(Table1[[#This Row],[hotwaterheating]]="yes", 1, 0)</f>
        <v>0</v>
      </c>
      <c r="Z433">
        <f>IF(Table1[[#This Row],[airconditioning]]="yes", 1, 0)</f>
        <v>1</v>
      </c>
      <c r="AA433">
        <v>0</v>
      </c>
      <c r="AB433">
        <f>IF(Table1[[#This Row],[prefarea]]= "yes", 1, 0)</f>
        <v>0</v>
      </c>
      <c r="AC433" s="1">
        <v>3290000</v>
      </c>
    </row>
    <row r="434" spans="1:29">
      <c r="A434">
        <v>6060</v>
      </c>
      <c r="B434" t="s">
        <v>15</v>
      </c>
      <c r="C434">
        <v>3</v>
      </c>
      <c r="D434">
        <v>1</v>
      </c>
      <c r="E434">
        <v>1</v>
      </c>
      <c r="F434" t="s">
        <v>13</v>
      </c>
      <c r="G434" t="s">
        <v>13</v>
      </c>
      <c r="H434" t="s">
        <v>13</v>
      </c>
      <c r="I434" t="s">
        <v>14</v>
      </c>
      <c r="J434" t="s">
        <v>14</v>
      </c>
      <c r="K434">
        <v>0</v>
      </c>
      <c r="L434" t="s">
        <v>14</v>
      </c>
      <c r="M434" s="1">
        <v>3290000</v>
      </c>
      <c r="P434">
        <v>6060</v>
      </c>
      <c r="Q434">
        <f>IF(Table1[[#This Row],[furnishingstatus]]="furnished", 1, 0)</f>
        <v>1</v>
      </c>
      <c r="R434">
        <f>IF(Table1[[#This Row],[furnishingstatus]]="semi-furnished", 1, 0)</f>
        <v>0</v>
      </c>
      <c r="S434">
        <v>3</v>
      </c>
      <c r="T434">
        <v>1</v>
      </c>
      <c r="U434">
        <v>1</v>
      </c>
      <c r="V434">
        <f>IF(Table1[[#This Row],[mainroad]] = "yes", 1, 0)</f>
        <v>1</v>
      </c>
      <c r="W434">
        <f>IF(Table1[[#This Row],[guestroom]]= "yes", 1, 0)</f>
        <v>1</v>
      </c>
      <c r="X434">
        <f>IF(Table1[[#This Row],[basement]]="yes", 1, 0)</f>
        <v>1</v>
      </c>
      <c r="Y434">
        <f>IF(Table1[[#This Row],[hotwaterheating]]="yes", 1, 0)</f>
        <v>0</v>
      </c>
      <c r="Z434">
        <f>IF(Table1[[#This Row],[airconditioning]]="yes", 1, 0)</f>
        <v>0</v>
      </c>
      <c r="AA434">
        <v>0</v>
      </c>
      <c r="AB434">
        <f>IF(Table1[[#This Row],[prefarea]]= "yes", 1, 0)</f>
        <v>0</v>
      </c>
      <c r="AC434" s="1">
        <v>3290000</v>
      </c>
    </row>
    <row r="435" spans="1:29">
      <c r="A435">
        <v>3480</v>
      </c>
      <c r="B435" t="s">
        <v>16</v>
      </c>
      <c r="C435">
        <v>4</v>
      </c>
      <c r="D435">
        <v>1</v>
      </c>
      <c r="E435">
        <v>2</v>
      </c>
      <c r="F435" t="s">
        <v>14</v>
      </c>
      <c r="G435" t="s">
        <v>14</v>
      </c>
      <c r="H435" t="s">
        <v>14</v>
      </c>
      <c r="I435" t="s">
        <v>14</v>
      </c>
      <c r="J435" t="s">
        <v>14</v>
      </c>
      <c r="K435">
        <v>1</v>
      </c>
      <c r="L435" t="s">
        <v>14</v>
      </c>
      <c r="M435" s="1">
        <v>3290000</v>
      </c>
      <c r="P435">
        <v>3480</v>
      </c>
      <c r="Q435">
        <f>IF(Table1[[#This Row],[furnishingstatus]]="furnished", 1, 0)</f>
        <v>0</v>
      </c>
      <c r="R435">
        <f>IF(Table1[[#This Row],[furnishingstatus]]="semi-furnished", 1, 0)</f>
        <v>1</v>
      </c>
      <c r="S435">
        <v>4</v>
      </c>
      <c r="T435">
        <v>1</v>
      </c>
      <c r="U435">
        <v>2</v>
      </c>
      <c r="V435">
        <f>IF(Table1[[#This Row],[mainroad]] = "yes", 1, 0)</f>
        <v>0</v>
      </c>
      <c r="W435">
        <f>IF(Table1[[#This Row],[guestroom]]= "yes", 1, 0)</f>
        <v>0</v>
      </c>
      <c r="X435">
        <f>IF(Table1[[#This Row],[basement]]="yes", 1, 0)</f>
        <v>0</v>
      </c>
      <c r="Y435">
        <f>IF(Table1[[#This Row],[hotwaterheating]]="yes", 1, 0)</f>
        <v>0</v>
      </c>
      <c r="Z435">
        <f>IF(Table1[[#This Row],[airconditioning]]="yes", 1, 0)</f>
        <v>0</v>
      </c>
      <c r="AA435">
        <v>1</v>
      </c>
      <c r="AB435">
        <f>IF(Table1[[#This Row],[prefarea]]= "yes", 1, 0)</f>
        <v>0</v>
      </c>
      <c r="AC435" s="1">
        <v>3290000</v>
      </c>
    </row>
    <row r="436" spans="1:29">
      <c r="A436">
        <v>3792</v>
      </c>
      <c r="B436" t="s">
        <v>16</v>
      </c>
      <c r="C436">
        <v>4</v>
      </c>
      <c r="D436">
        <v>1</v>
      </c>
      <c r="E436">
        <v>2</v>
      </c>
      <c r="F436" t="s">
        <v>13</v>
      </c>
      <c r="G436" t="s">
        <v>14</v>
      </c>
      <c r="H436" t="s">
        <v>14</v>
      </c>
      <c r="I436" t="s">
        <v>14</v>
      </c>
      <c r="J436" t="s">
        <v>14</v>
      </c>
      <c r="K436">
        <v>0</v>
      </c>
      <c r="L436" t="s">
        <v>14</v>
      </c>
      <c r="M436" s="1">
        <v>3290000</v>
      </c>
      <c r="P436">
        <v>3792</v>
      </c>
      <c r="Q436">
        <f>IF(Table1[[#This Row],[furnishingstatus]]="furnished", 1, 0)</f>
        <v>0</v>
      </c>
      <c r="R436">
        <f>IF(Table1[[#This Row],[furnishingstatus]]="semi-furnished", 1, 0)</f>
        <v>1</v>
      </c>
      <c r="S436">
        <v>4</v>
      </c>
      <c r="T436">
        <v>1</v>
      </c>
      <c r="U436">
        <v>2</v>
      </c>
      <c r="V436">
        <f>IF(Table1[[#This Row],[mainroad]] = "yes", 1, 0)</f>
        <v>1</v>
      </c>
      <c r="W436">
        <f>IF(Table1[[#This Row],[guestroom]]= "yes", 1, 0)</f>
        <v>0</v>
      </c>
      <c r="X436">
        <f>IF(Table1[[#This Row],[basement]]="yes", 1, 0)</f>
        <v>0</v>
      </c>
      <c r="Y436">
        <f>IF(Table1[[#This Row],[hotwaterheating]]="yes", 1, 0)</f>
        <v>0</v>
      </c>
      <c r="Z436">
        <f>IF(Table1[[#This Row],[airconditioning]]="yes", 1, 0)</f>
        <v>0</v>
      </c>
      <c r="AA436">
        <v>0</v>
      </c>
      <c r="AB436">
        <f>IF(Table1[[#This Row],[prefarea]]= "yes", 1, 0)</f>
        <v>0</v>
      </c>
      <c r="AC436" s="1">
        <v>3290000</v>
      </c>
    </row>
    <row r="437" spans="1:29">
      <c r="A437">
        <v>4040</v>
      </c>
      <c r="B437" t="s">
        <v>17</v>
      </c>
      <c r="C437">
        <v>2</v>
      </c>
      <c r="D437">
        <v>1</v>
      </c>
      <c r="E437">
        <v>1</v>
      </c>
      <c r="F437" t="s">
        <v>13</v>
      </c>
      <c r="G437" t="s">
        <v>14</v>
      </c>
      <c r="H437" t="s">
        <v>14</v>
      </c>
      <c r="I437" t="s">
        <v>14</v>
      </c>
      <c r="J437" t="s">
        <v>14</v>
      </c>
      <c r="K437">
        <v>0</v>
      </c>
      <c r="L437" t="s">
        <v>14</v>
      </c>
      <c r="M437" s="1">
        <v>3290000</v>
      </c>
      <c r="P437">
        <v>4040</v>
      </c>
      <c r="Q437">
        <f>IF(Table1[[#This Row],[furnishingstatus]]="furnished", 1, 0)</f>
        <v>0</v>
      </c>
      <c r="R437">
        <f>IF(Table1[[#This Row],[furnishingstatus]]="semi-furnished", 1, 0)</f>
        <v>0</v>
      </c>
      <c r="S437">
        <v>2</v>
      </c>
      <c r="T437">
        <v>1</v>
      </c>
      <c r="U437">
        <v>1</v>
      </c>
      <c r="V437">
        <f>IF(Table1[[#This Row],[mainroad]] = "yes", 1, 0)</f>
        <v>1</v>
      </c>
      <c r="W437">
        <f>IF(Table1[[#This Row],[guestroom]]= "yes", 1, 0)</f>
        <v>0</v>
      </c>
      <c r="X437">
        <f>IF(Table1[[#This Row],[basement]]="yes", 1, 0)</f>
        <v>0</v>
      </c>
      <c r="Y437">
        <f>IF(Table1[[#This Row],[hotwaterheating]]="yes", 1, 0)</f>
        <v>0</v>
      </c>
      <c r="Z437">
        <f>IF(Table1[[#This Row],[airconditioning]]="yes", 1, 0)</f>
        <v>0</v>
      </c>
      <c r="AA437">
        <v>0</v>
      </c>
      <c r="AB437">
        <f>IF(Table1[[#This Row],[prefarea]]= "yes", 1, 0)</f>
        <v>0</v>
      </c>
      <c r="AC437" s="1">
        <v>3290000</v>
      </c>
    </row>
    <row r="438" spans="1:29">
      <c r="A438">
        <v>2145</v>
      </c>
      <c r="B438" t="s">
        <v>15</v>
      </c>
      <c r="C438">
        <v>3</v>
      </c>
      <c r="D438">
        <v>1</v>
      </c>
      <c r="E438">
        <v>2</v>
      </c>
      <c r="F438" t="s">
        <v>13</v>
      </c>
      <c r="G438" t="s">
        <v>14</v>
      </c>
      <c r="H438" t="s">
        <v>13</v>
      </c>
      <c r="I438" t="s">
        <v>14</v>
      </c>
      <c r="J438" t="s">
        <v>14</v>
      </c>
      <c r="K438">
        <v>0</v>
      </c>
      <c r="L438" t="s">
        <v>13</v>
      </c>
      <c r="M438" s="1">
        <v>3290000</v>
      </c>
      <c r="P438">
        <v>2145</v>
      </c>
      <c r="Q438">
        <f>IF(Table1[[#This Row],[furnishingstatus]]="furnished", 1, 0)</f>
        <v>1</v>
      </c>
      <c r="R438">
        <f>IF(Table1[[#This Row],[furnishingstatus]]="semi-furnished", 1, 0)</f>
        <v>0</v>
      </c>
      <c r="S438">
        <v>3</v>
      </c>
      <c r="T438">
        <v>1</v>
      </c>
      <c r="U438">
        <v>2</v>
      </c>
      <c r="V438">
        <f>IF(Table1[[#This Row],[mainroad]] = "yes", 1, 0)</f>
        <v>1</v>
      </c>
      <c r="W438">
        <f>IF(Table1[[#This Row],[guestroom]]= "yes", 1, 0)</f>
        <v>0</v>
      </c>
      <c r="X438">
        <f>IF(Table1[[#This Row],[basement]]="yes", 1, 0)</f>
        <v>1</v>
      </c>
      <c r="Y438">
        <f>IF(Table1[[#This Row],[hotwaterheating]]="yes", 1, 0)</f>
        <v>0</v>
      </c>
      <c r="Z438">
        <f>IF(Table1[[#This Row],[airconditioning]]="yes", 1, 0)</f>
        <v>0</v>
      </c>
      <c r="AA438">
        <v>0</v>
      </c>
      <c r="AB438">
        <f>IF(Table1[[#This Row],[prefarea]]= "yes", 1, 0)</f>
        <v>1</v>
      </c>
      <c r="AC438" s="1">
        <v>3290000</v>
      </c>
    </row>
    <row r="439" spans="1:29">
      <c r="A439">
        <v>5880</v>
      </c>
      <c r="B439" t="s">
        <v>17</v>
      </c>
      <c r="C439">
        <v>3</v>
      </c>
      <c r="D439">
        <v>1</v>
      </c>
      <c r="E439">
        <v>1</v>
      </c>
      <c r="F439" t="s">
        <v>13</v>
      </c>
      <c r="G439" t="s">
        <v>14</v>
      </c>
      <c r="H439" t="s">
        <v>14</v>
      </c>
      <c r="I439" t="s">
        <v>14</v>
      </c>
      <c r="J439" t="s">
        <v>14</v>
      </c>
      <c r="K439">
        <v>1</v>
      </c>
      <c r="L439" t="s">
        <v>14</v>
      </c>
      <c r="M439" s="1">
        <v>3290000</v>
      </c>
      <c r="P439">
        <v>5880</v>
      </c>
      <c r="Q439">
        <f>IF(Table1[[#This Row],[furnishingstatus]]="furnished", 1, 0)</f>
        <v>0</v>
      </c>
      <c r="R439">
        <f>IF(Table1[[#This Row],[furnishingstatus]]="semi-furnished", 1, 0)</f>
        <v>0</v>
      </c>
      <c r="S439">
        <v>3</v>
      </c>
      <c r="T439">
        <v>1</v>
      </c>
      <c r="U439">
        <v>1</v>
      </c>
      <c r="V439">
        <f>IF(Table1[[#This Row],[mainroad]] = "yes", 1, 0)</f>
        <v>1</v>
      </c>
      <c r="W439">
        <f>IF(Table1[[#This Row],[guestroom]]= "yes", 1, 0)</f>
        <v>0</v>
      </c>
      <c r="X439">
        <f>IF(Table1[[#This Row],[basement]]="yes", 1, 0)</f>
        <v>0</v>
      </c>
      <c r="Y439">
        <f>IF(Table1[[#This Row],[hotwaterheating]]="yes", 1, 0)</f>
        <v>0</v>
      </c>
      <c r="Z439">
        <f>IF(Table1[[#This Row],[airconditioning]]="yes", 1, 0)</f>
        <v>0</v>
      </c>
      <c r="AA439">
        <v>1</v>
      </c>
      <c r="AB439">
        <f>IF(Table1[[#This Row],[prefarea]]= "yes", 1, 0)</f>
        <v>0</v>
      </c>
      <c r="AC439" s="1">
        <v>3290000</v>
      </c>
    </row>
    <row r="440" spans="1:29">
      <c r="A440">
        <v>4500</v>
      </c>
      <c r="B440" t="s">
        <v>16</v>
      </c>
      <c r="C440">
        <v>2</v>
      </c>
      <c r="D440">
        <v>1</v>
      </c>
      <c r="E440">
        <v>1</v>
      </c>
      <c r="F440" t="s">
        <v>14</v>
      </c>
      <c r="G440" t="s">
        <v>14</v>
      </c>
      <c r="H440" t="s">
        <v>14</v>
      </c>
      <c r="I440" t="s">
        <v>14</v>
      </c>
      <c r="J440" t="s">
        <v>14</v>
      </c>
      <c r="K440">
        <v>0</v>
      </c>
      <c r="L440" t="s">
        <v>14</v>
      </c>
      <c r="M440" s="1">
        <v>3255000</v>
      </c>
      <c r="P440">
        <v>4500</v>
      </c>
      <c r="Q440">
        <f>IF(Table1[[#This Row],[furnishingstatus]]="furnished", 1, 0)</f>
        <v>0</v>
      </c>
      <c r="R440">
        <f>IF(Table1[[#This Row],[furnishingstatus]]="semi-furnished", 1, 0)</f>
        <v>1</v>
      </c>
      <c r="S440">
        <v>2</v>
      </c>
      <c r="T440">
        <v>1</v>
      </c>
      <c r="U440">
        <v>1</v>
      </c>
      <c r="V440">
        <f>IF(Table1[[#This Row],[mainroad]] = "yes", 1, 0)</f>
        <v>0</v>
      </c>
      <c r="W440">
        <f>IF(Table1[[#This Row],[guestroom]]= "yes", 1, 0)</f>
        <v>0</v>
      </c>
      <c r="X440">
        <f>IF(Table1[[#This Row],[basement]]="yes", 1, 0)</f>
        <v>0</v>
      </c>
      <c r="Y440">
        <f>IF(Table1[[#This Row],[hotwaterheating]]="yes", 1, 0)</f>
        <v>0</v>
      </c>
      <c r="Z440">
        <f>IF(Table1[[#This Row],[airconditioning]]="yes", 1, 0)</f>
        <v>0</v>
      </c>
      <c r="AA440">
        <v>0</v>
      </c>
      <c r="AB440">
        <f>IF(Table1[[#This Row],[prefarea]]= "yes", 1, 0)</f>
        <v>0</v>
      </c>
      <c r="AC440" s="1">
        <v>3255000</v>
      </c>
    </row>
    <row r="441" spans="1:29">
      <c r="A441">
        <v>3930</v>
      </c>
      <c r="B441" t="s">
        <v>17</v>
      </c>
      <c r="C441">
        <v>2</v>
      </c>
      <c r="D441">
        <v>1</v>
      </c>
      <c r="E441">
        <v>1</v>
      </c>
      <c r="F441" t="s">
        <v>14</v>
      </c>
      <c r="G441" t="s">
        <v>14</v>
      </c>
      <c r="H441" t="s">
        <v>14</v>
      </c>
      <c r="I441" t="s">
        <v>14</v>
      </c>
      <c r="J441" t="s">
        <v>14</v>
      </c>
      <c r="K441">
        <v>0</v>
      </c>
      <c r="L441" t="s">
        <v>14</v>
      </c>
      <c r="M441" s="1">
        <v>3255000</v>
      </c>
      <c r="P441">
        <v>3930</v>
      </c>
      <c r="Q441">
        <f>IF(Table1[[#This Row],[furnishingstatus]]="furnished", 1, 0)</f>
        <v>0</v>
      </c>
      <c r="R441">
        <f>IF(Table1[[#This Row],[furnishingstatus]]="semi-furnished", 1, 0)</f>
        <v>0</v>
      </c>
      <c r="S441">
        <v>2</v>
      </c>
      <c r="T441">
        <v>1</v>
      </c>
      <c r="U441">
        <v>1</v>
      </c>
      <c r="V441">
        <f>IF(Table1[[#This Row],[mainroad]] = "yes", 1, 0)</f>
        <v>0</v>
      </c>
      <c r="W441">
        <f>IF(Table1[[#This Row],[guestroom]]= "yes", 1, 0)</f>
        <v>0</v>
      </c>
      <c r="X441">
        <f>IF(Table1[[#This Row],[basement]]="yes", 1, 0)</f>
        <v>0</v>
      </c>
      <c r="Y441">
        <f>IF(Table1[[#This Row],[hotwaterheating]]="yes", 1, 0)</f>
        <v>0</v>
      </c>
      <c r="Z441">
        <f>IF(Table1[[#This Row],[airconditioning]]="yes", 1, 0)</f>
        <v>0</v>
      </c>
      <c r="AA441">
        <v>0</v>
      </c>
      <c r="AB441">
        <f>IF(Table1[[#This Row],[prefarea]]= "yes", 1, 0)</f>
        <v>0</v>
      </c>
      <c r="AC441" s="1">
        <v>3255000</v>
      </c>
    </row>
    <row r="442" spans="1:29">
      <c r="A442">
        <v>3640</v>
      </c>
      <c r="B442" t="s">
        <v>17</v>
      </c>
      <c r="C442">
        <v>4</v>
      </c>
      <c r="D442">
        <v>1</v>
      </c>
      <c r="E442">
        <v>2</v>
      </c>
      <c r="F442" t="s">
        <v>13</v>
      </c>
      <c r="G442" t="s">
        <v>14</v>
      </c>
      <c r="H442" t="s">
        <v>13</v>
      </c>
      <c r="I442" t="s">
        <v>14</v>
      </c>
      <c r="J442" t="s">
        <v>14</v>
      </c>
      <c r="K442">
        <v>0</v>
      </c>
      <c r="L442" t="s">
        <v>14</v>
      </c>
      <c r="M442" s="1">
        <v>3234000</v>
      </c>
      <c r="P442">
        <v>3640</v>
      </c>
      <c r="Q442">
        <f>IF(Table1[[#This Row],[furnishingstatus]]="furnished", 1, 0)</f>
        <v>0</v>
      </c>
      <c r="R442">
        <f>IF(Table1[[#This Row],[furnishingstatus]]="semi-furnished", 1, 0)</f>
        <v>0</v>
      </c>
      <c r="S442">
        <v>4</v>
      </c>
      <c r="T442">
        <v>1</v>
      </c>
      <c r="U442">
        <v>2</v>
      </c>
      <c r="V442">
        <f>IF(Table1[[#This Row],[mainroad]] = "yes", 1, 0)</f>
        <v>1</v>
      </c>
      <c r="W442">
        <f>IF(Table1[[#This Row],[guestroom]]= "yes", 1, 0)</f>
        <v>0</v>
      </c>
      <c r="X442">
        <f>IF(Table1[[#This Row],[basement]]="yes", 1, 0)</f>
        <v>1</v>
      </c>
      <c r="Y442">
        <f>IF(Table1[[#This Row],[hotwaterheating]]="yes", 1, 0)</f>
        <v>0</v>
      </c>
      <c r="Z442">
        <f>IF(Table1[[#This Row],[airconditioning]]="yes", 1, 0)</f>
        <v>0</v>
      </c>
      <c r="AA442">
        <v>0</v>
      </c>
      <c r="AB442">
        <f>IF(Table1[[#This Row],[prefarea]]= "yes", 1, 0)</f>
        <v>0</v>
      </c>
      <c r="AC442" s="1">
        <v>3234000</v>
      </c>
    </row>
    <row r="443" spans="1:29">
      <c r="A443">
        <v>4370</v>
      </c>
      <c r="B443" t="s">
        <v>17</v>
      </c>
      <c r="C443">
        <v>3</v>
      </c>
      <c r="D443">
        <v>1</v>
      </c>
      <c r="E443">
        <v>2</v>
      </c>
      <c r="F443" t="s">
        <v>13</v>
      </c>
      <c r="G443" t="s">
        <v>14</v>
      </c>
      <c r="H443" t="s">
        <v>14</v>
      </c>
      <c r="I443" t="s">
        <v>14</v>
      </c>
      <c r="J443" t="s">
        <v>14</v>
      </c>
      <c r="K443">
        <v>0</v>
      </c>
      <c r="L443" t="s">
        <v>14</v>
      </c>
      <c r="M443" s="1">
        <v>3220000</v>
      </c>
      <c r="P443">
        <v>4370</v>
      </c>
      <c r="Q443">
        <f>IF(Table1[[#This Row],[furnishingstatus]]="furnished", 1, 0)</f>
        <v>0</v>
      </c>
      <c r="R443">
        <f>IF(Table1[[#This Row],[furnishingstatus]]="semi-furnished", 1, 0)</f>
        <v>0</v>
      </c>
      <c r="S443">
        <v>3</v>
      </c>
      <c r="T443">
        <v>1</v>
      </c>
      <c r="U443">
        <v>2</v>
      </c>
      <c r="V443">
        <f>IF(Table1[[#This Row],[mainroad]] = "yes", 1, 0)</f>
        <v>1</v>
      </c>
      <c r="W443">
        <f>IF(Table1[[#This Row],[guestroom]]= "yes", 1, 0)</f>
        <v>0</v>
      </c>
      <c r="X443">
        <f>IF(Table1[[#This Row],[basement]]="yes", 1, 0)</f>
        <v>0</v>
      </c>
      <c r="Y443">
        <f>IF(Table1[[#This Row],[hotwaterheating]]="yes", 1, 0)</f>
        <v>0</v>
      </c>
      <c r="Z443">
        <f>IF(Table1[[#This Row],[airconditioning]]="yes", 1, 0)</f>
        <v>0</v>
      </c>
      <c r="AA443">
        <v>0</v>
      </c>
      <c r="AB443">
        <f>IF(Table1[[#This Row],[prefarea]]= "yes", 1, 0)</f>
        <v>0</v>
      </c>
      <c r="AC443" s="1">
        <v>3220000</v>
      </c>
    </row>
    <row r="444" spans="1:29">
      <c r="A444">
        <v>2684</v>
      </c>
      <c r="B444" t="s">
        <v>17</v>
      </c>
      <c r="C444">
        <v>2</v>
      </c>
      <c r="D444">
        <v>1</v>
      </c>
      <c r="E444">
        <v>1</v>
      </c>
      <c r="F444" t="s">
        <v>13</v>
      </c>
      <c r="G444" t="s">
        <v>14</v>
      </c>
      <c r="H444" t="s">
        <v>14</v>
      </c>
      <c r="I444" t="s">
        <v>14</v>
      </c>
      <c r="J444" t="s">
        <v>13</v>
      </c>
      <c r="K444">
        <v>1</v>
      </c>
      <c r="L444" t="s">
        <v>14</v>
      </c>
      <c r="M444" s="1">
        <v>3220000</v>
      </c>
      <c r="P444">
        <v>2684</v>
      </c>
      <c r="Q444">
        <f>IF(Table1[[#This Row],[furnishingstatus]]="furnished", 1, 0)</f>
        <v>0</v>
      </c>
      <c r="R444">
        <f>IF(Table1[[#This Row],[furnishingstatus]]="semi-furnished", 1, 0)</f>
        <v>0</v>
      </c>
      <c r="S444">
        <v>2</v>
      </c>
      <c r="T444">
        <v>1</v>
      </c>
      <c r="U444">
        <v>1</v>
      </c>
      <c r="V444">
        <f>IF(Table1[[#This Row],[mainroad]] = "yes", 1, 0)</f>
        <v>1</v>
      </c>
      <c r="W444">
        <f>IF(Table1[[#This Row],[guestroom]]= "yes", 1, 0)</f>
        <v>0</v>
      </c>
      <c r="X444">
        <f>IF(Table1[[#This Row],[basement]]="yes", 1, 0)</f>
        <v>0</v>
      </c>
      <c r="Y444">
        <f>IF(Table1[[#This Row],[hotwaterheating]]="yes", 1, 0)</f>
        <v>0</v>
      </c>
      <c r="Z444">
        <f>IF(Table1[[#This Row],[airconditioning]]="yes", 1, 0)</f>
        <v>1</v>
      </c>
      <c r="AA444">
        <v>1</v>
      </c>
      <c r="AB444">
        <f>IF(Table1[[#This Row],[prefarea]]= "yes", 1, 0)</f>
        <v>0</v>
      </c>
      <c r="AC444" s="1">
        <v>3220000</v>
      </c>
    </row>
    <row r="445" spans="1:29">
      <c r="A445">
        <v>4320</v>
      </c>
      <c r="B445" t="s">
        <v>17</v>
      </c>
      <c r="C445">
        <v>3</v>
      </c>
      <c r="D445">
        <v>1</v>
      </c>
      <c r="E445">
        <v>1</v>
      </c>
      <c r="F445" t="s">
        <v>14</v>
      </c>
      <c r="G445" t="s">
        <v>14</v>
      </c>
      <c r="H445" t="s">
        <v>14</v>
      </c>
      <c r="I445" t="s">
        <v>14</v>
      </c>
      <c r="J445" t="s">
        <v>14</v>
      </c>
      <c r="K445">
        <v>1</v>
      </c>
      <c r="L445" t="s">
        <v>14</v>
      </c>
      <c r="M445" s="1">
        <v>3220000</v>
      </c>
      <c r="P445">
        <v>4320</v>
      </c>
      <c r="Q445">
        <f>IF(Table1[[#This Row],[furnishingstatus]]="furnished", 1, 0)</f>
        <v>0</v>
      </c>
      <c r="R445">
        <f>IF(Table1[[#This Row],[furnishingstatus]]="semi-furnished", 1, 0)</f>
        <v>0</v>
      </c>
      <c r="S445">
        <v>3</v>
      </c>
      <c r="T445">
        <v>1</v>
      </c>
      <c r="U445">
        <v>1</v>
      </c>
      <c r="V445">
        <f>IF(Table1[[#This Row],[mainroad]] = "yes", 1, 0)</f>
        <v>0</v>
      </c>
      <c r="W445">
        <f>IF(Table1[[#This Row],[guestroom]]= "yes", 1, 0)</f>
        <v>0</v>
      </c>
      <c r="X445">
        <f>IF(Table1[[#This Row],[basement]]="yes", 1, 0)</f>
        <v>0</v>
      </c>
      <c r="Y445">
        <f>IF(Table1[[#This Row],[hotwaterheating]]="yes", 1, 0)</f>
        <v>0</v>
      </c>
      <c r="Z445">
        <f>IF(Table1[[#This Row],[airconditioning]]="yes", 1, 0)</f>
        <v>0</v>
      </c>
      <c r="AA445">
        <v>1</v>
      </c>
      <c r="AB445">
        <f>IF(Table1[[#This Row],[prefarea]]= "yes", 1, 0)</f>
        <v>0</v>
      </c>
      <c r="AC445" s="1">
        <v>3220000</v>
      </c>
    </row>
    <row r="446" spans="1:29">
      <c r="A446">
        <v>3120</v>
      </c>
      <c r="B446" t="s">
        <v>15</v>
      </c>
      <c r="C446">
        <v>3</v>
      </c>
      <c r="D446">
        <v>1</v>
      </c>
      <c r="E446">
        <v>2</v>
      </c>
      <c r="F446" t="s">
        <v>14</v>
      </c>
      <c r="G446" t="s">
        <v>14</v>
      </c>
      <c r="H446" t="s">
        <v>14</v>
      </c>
      <c r="I446" t="s">
        <v>14</v>
      </c>
      <c r="J446" t="s">
        <v>14</v>
      </c>
      <c r="K446">
        <v>0</v>
      </c>
      <c r="L446" t="s">
        <v>14</v>
      </c>
      <c r="M446" s="1">
        <v>3220000</v>
      </c>
      <c r="P446">
        <v>3120</v>
      </c>
      <c r="Q446">
        <f>IF(Table1[[#This Row],[furnishingstatus]]="furnished", 1, 0)</f>
        <v>1</v>
      </c>
      <c r="R446">
        <f>IF(Table1[[#This Row],[furnishingstatus]]="semi-furnished", 1, 0)</f>
        <v>0</v>
      </c>
      <c r="S446">
        <v>3</v>
      </c>
      <c r="T446">
        <v>1</v>
      </c>
      <c r="U446">
        <v>2</v>
      </c>
      <c r="V446">
        <f>IF(Table1[[#This Row],[mainroad]] = "yes", 1, 0)</f>
        <v>0</v>
      </c>
      <c r="W446">
        <f>IF(Table1[[#This Row],[guestroom]]= "yes", 1, 0)</f>
        <v>0</v>
      </c>
      <c r="X446">
        <f>IF(Table1[[#This Row],[basement]]="yes", 1, 0)</f>
        <v>0</v>
      </c>
      <c r="Y446">
        <f>IF(Table1[[#This Row],[hotwaterheating]]="yes", 1, 0)</f>
        <v>0</v>
      </c>
      <c r="Z446">
        <f>IF(Table1[[#This Row],[airconditioning]]="yes", 1, 0)</f>
        <v>0</v>
      </c>
      <c r="AA446">
        <v>0</v>
      </c>
      <c r="AB446">
        <f>IF(Table1[[#This Row],[prefarea]]= "yes", 1, 0)</f>
        <v>0</v>
      </c>
      <c r="AC446" s="1">
        <v>3220000</v>
      </c>
    </row>
    <row r="447" spans="1:29">
      <c r="A447">
        <v>3450</v>
      </c>
      <c r="B447" t="s">
        <v>15</v>
      </c>
      <c r="C447">
        <v>1</v>
      </c>
      <c r="D447">
        <v>1</v>
      </c>
      <c r="E447">
        <v>1</v>
      </c>
      <c r="F447" t="s">
        <v>13</v>
      </c>
      <c r="G447" t="s">
        <v>14</v>
      </c>
      <c r="H447" t="s">
        <v>14</v>
      </c>
      <c r="I447" t="s">
        <v>14</v>
      </c>
      <c r="J447" t="s">
        <v>14</v>
      </c>
      <c r="K447">
        <v>0</v>
      </c>
      <c r="L447" t="s">
        <v>14</v>
      </c>
      <c r="M447" s="1">
        <v>3150000</v>
      </c>
      <c r="P447">
        <v>3450</v>
      </c>
      <c r="Q447">
        <f>IF(Table1[[#This Row],[furnishingstatus]]="furnished", 1, 0)</f>
        <v>1</v>
      </c>
      <c r="R447">
        <f>IF(Table1[[#This Row],[furnishingstatus]]="semi-furnished", 1, 0)</f>
        <v>0</v>
      </c>
      <c r="S447">
        <v>1</v>
      </c>
      <c r="T447">
        <v>1</v>
      </c>
      <c r="U447">
        <v>1</v>
      </c>
      <c r="V447">
        <f>IF(Table1[[#This Row],[mainroad]] = "yes", 1, 0)</f>
        <v>1</v>
      </c>
      <c r="W447">
        <f>IF(Table1[[#This Row],[guestroom]]= "yes", 1, 0)</f>
        <v>0</v>
      </c>
      <c r="X447">
        <f>IF(Table1[[#This Row],[basement]]="yes", 1, 0)</f>
        <v>0</v>
      </c>
      <c r="Y447">
        <f>IF(Table1[[#This Row],[hotwaterheating]]="yes", 1, 0)</f>
        <v>0</v>
      </c>
      <c r="Z447">
        <f>IF(Table1[[#This Row],[airconditioning]]="yes", 1, 0)</f>
        <v>0</v>
      </c>
      <c r="AA447">
        <v>0</v>
      </c>
      <c r="AB447">
        <f>IF(Table1[[#This Row],[prefarea]]= "yes", 1, 0)</f>
        <v>0</v>
      </c>
      <c r="AC447" s="1">
        <v>3150000</v>
      </c>
    </row>
    <row r="448" spans="1:29">
      <c r="A448">
        <v>3986</v>
      </c>
      <c r="B448" t="s">
        <v>17</v>
      </c>
      <c r="C448">
        <v>2</v>
      </c>
      <c r="D448">
        <v>2</v>
      </c>
      <c r="E448">
        <v>1</v>
      </c>
      <c r="F448" t="s">
        <v>14</v>
      </c>
      <c r="G448" t="s">
        <v>13</v>
      </c>
      <c r="H448" t="s">
        <v>13</v>
      </c>
      <c r="I448" t="s">
        <v>14</v>
      </c>
      <c r="J448" t="s">
        <v>14</v>
      </c>
      <c r="K448">
        <v>1</v>
      </c>
      <c r="L448" t="s">
        <v>14</v>
      </c>
      <c r="M448" s="1">
        <v>3150000</v>
      </c>
      <c r="P448">
        <v>3986</v>
      </c>
      <c r="Q448">
        <f>IF(Table1[[#This Row],[furnishingstatus]]="furnished", 1, 0)</f>
        <v>0</v>
      </c>
      <c r="R448">
        <f>IF(Table1[[#This Row],[furnishingstatus]]="semi-furnished", 1, 0)</f>
        <v>0</v>
      </c>
      <c r="S448">
        <v>2</v>
      </c>
      <c r="T448">
        <v>2</v>
      </c>
      <c r="U448">
        <v>1</v>
      </c>
      <c r="V448">
        <f>IF(Table1[[#This Row],[mainroad]] = "yes", 1, 0)</f>
        <v>0</v>
      </c>
      <c r="W448">
        <f>IF(Table1[[#This Row],[guestroom]]= "yes", 1, 0)</f>
        <v>1</v>
      </c>
      <c r="X448">
        <f>IF(Table1[[#This Row],[basement]]="yes", 1, 0)</f>
        <v>1</v>
      </c>
      <c r="Y448">
        <f>IF(Table1[[#This Row],[hotwaterheating]]="yes", 1, 0)</f>
        <v>0</v>
      </c>
      <c r="Z448">
        <f>IF(Table1[[#This Row],[airconditioning]]="yes", 1, 0)</f>
        <v>0</v>
      </c>
      <c r="AA448">
        <v>1</v>
      </c>
      <c r="AB448">
        <f>IF(Table1[[#This Row],[prefarea]]= "yes", 1, 0)</f>
        <v>0</v>
      </c>
      <c r="AC448" s="1">
        <v>3150000</v>
      </c>
    </row>
    <row r="449" spans="1:29">
      <c r="A449">
        <v>3500</v>
      </c>
      <c r="B449" t="s">
        <v>16</v>
      </c>
      <c r="C449">
        <v>2</v>
      </c>
      <c r="D449">
        <v>1</v>
      </c>
      <c r="E449">
        <v>1</v>
      </c>
      <c r="F449" t="s">
        <v>14</v>
      </c>
      <c r="G449" t="s">
        <v>14</v>
      </c>
      <c r="H449" t="s">
        <v>13</v>
      </c>
      <c r="I449" t="s">
        <v>14</v>
      </c>
      <c r="J449" t="s">
        <v>14</v>
      </c>
      <c r="K449">
        <v>0</v>
      </c>
      <c r="L449" t="s">
        <v>14</v>
      </c>
      <c r="M449" s="1">
        <v>3150000</v>
      </c>
      <c r="P449">
        <v>3500</v>
      </c>
      <c r="Q449">
        <f>IF(Table1[[#This Row],[furnishingstatus]]="furnished", 1, 0)</f>
        <v>0</v>
      </c>
      <c r="R449">
        <f>IF(Table1[[#This Row],[furnishingstatus]]="semi-furnished", 1, 0)</f>
        <v>1</v>
      </c>
      <c r="S449">
        <v>2</v>
      </c>
      <c r="T449">
        <v>1</v>
      </c>
      <c r="U449">
        <v>1</v>
      </c>
      <c r="V449">
        <f>IF(Table1[[#This Row],[mainroad]] = "yes", 1, 0)</f>
        <v>0</v>
      </c>
      <c r="W449">
        <f>IF(Table1[[#This Row],[guestroom]]= "yes", 1, 0)</f>
        <v>0</v>
      </c>
      <c r="X449">
        <f>IF(Table1[[#This Row],[basement]]="yes", 1, 0)</f>
        <v>1</v>
      </c>
      <c r="Y449">
        <f>IF(Table1[[#This Row],[hotwaterheating]]="yes", 1, 0)</f>
        <v>0</v>
      </c>
      <c r="Z449">
        <f>IF(Table1[[#This Row],[airconditioning]]="yes", 1, 0)</f>
        <v>0</v>
      </c>
      <c r="AA449">
        <v>0</v>
      </c>
      <c r="AB449">
        <f>IF(Table1[[#This Row],[prefarea]]= "yes", 1, 0)</f>
        <v>0</v>
      </c>
      <c r="AC449" s="1">
        <v>3150000</v>
      </c>
    </row>
    <row r="450" spans="1:29">
      <c r="A450">
        <v>4095</v>
      </c>
      <c r="B450" t="s">
        <v>16</v>
      </c>
      <c r="C450">
        <v>2</v>
      </c>
      <c r="D450">
        <v>1</v>
      </c>
      <c r="E450">
        <v>1</v>
      </c>
      <c r="F450" t="s">
        <v>13</v>
      </c>
      <c r="G450" t="s">
        <v>14</v>
      </c>
      <c r="H450" t="s">
        <v>14</v>
      </c>
      <c r="I450" t="s">
        <v>14</v>
      </c>
      <c r="J450" t="s">
        <v>14</v>
      </c>
      <c r="K450">
        <v>2</v>
      </c>
      <c r="L450" t="s">
        <v>14</v>
      </c>
      <c r="M450" s="1">
        <v>3150000</v>
      </c>
      <c r="P450">
        <v>4095</v>
      </c>
      <c r="Q450">
        <f>IF(Table1[[#This Row],[furnishingstatus]]="furnished", 1, 0)</f>
        <v>0</v>
      </c>
      <c r="R450">
        <f>IF(Table1[[#This Row],[furnishingstatus]]="semi-furnished", 1, 0)</f>
        <v>1</v>
      </c>
      <c r="S450">
        <v>2</v>
      </c>
      <c r="T450">
        <v>1</v>
      </c>
      <c r="U450">
        <v>1</v>
      </c>
      <c r="V450">
        <f>IF(Table1[[#This Row],[mainroad]] = "yes", 1, 0)</f>
        <v>1</v>
      </c>
      <c r="W450">
        <f>IF(Table1[[#This Row],[guestroom]]= "yes", 1, 0)</f>
        <v>0</v>
      </c>
      <c r="X450">
        <f>IF(Table1[[#This Row],[basement]]="yes", 1, 0)</f>
        <v>0</v>
      </c>
      <c r="Y450">
        <f>IF(Table1[[#This Row],[hotwaterheating]]="yes", 1, 0)</f>
        <v>0</v>
      </c>
      <c r="Z450">
        <f>IF(Table1[[#This Row],[airconditioning]]="yes", 1, 0)</f>
        <v>0</v>
      </c>
      <c r="AA450">
        <v>2</v>
      </c>
      <c r="AB450">
        <f>IF(Table1[[#This Row],[prefarea]]= "yes", 1, 0)</f>
        <v>0</v>
      </c>
      <c r="AC450" s="1">
        <v>3150000</v>
      </c>
    </row>
    <row r="451" spans="1:29">
      <c r="A451">
        <v>1650</v>
      </c>
      <c r="B451" t="s">
        <v>17</v>
      </c>
      <c r="C451">
        <v>3</v>
      </c>
      <c r="D451">
        <v>1</v>
      </c>
      <c r="E451">
        <v>2</v>
      </c>
      <c r="F451" t="s">
        <v>14</v>
      </c>
      <c r="G451" t="s">
        <v>14</v>
      </c>
      <c r="H451" t="s">
        <v>13</v>
      </c>
      <c r="I451" t="s">
        <v>14</v>
      </c>
      <c r="J451" t="s">
        <v>14</v>
      </c>
      <c r="K451">
        <v>0</v>
      </c>
      <c r="L451" t="s">
        <v>14</v>
      </c>
      <c r="M451" s="1">
        <v>3150000</v>
      </c>
      <c r="P451">
        <v>1650</v>
      </c>
      <c r="Q451">
        <f>IF(Table1[[#This Row],[furnishingstatus]]="furnished", 1, 0)</f>
        <v>0</v>
      </c>
      <c r="R451">
        <f>IF(Table1[[#This Row],[furnishingstatus]]="semi-furnished", 1, 0)</f>
        <v>0</v>
      </c>
      <c r="S451">
        <v>3</v>
      </c>
      <c r="T451">
        <v>1</v>
      </c>
      <c r="U451">
        <v>2</v>
      </c>
      <c r="V451">
        <f>IF(Table1[[#This Row],[mainroad]] = "yes", 1, 0)</f>
        <v>0</v>
      </c>
      <c r="W451">
        <f>IF(Table1[[#This Row],[guestroom]]= "yes", 1, 0)</f>
        <v>0</v>
      </c>
      <c r="X451">
        <f>IF(Table1[[#This Row],[basement]]="yes", 1, 0)</f>
        <v>1</v>
      </c>
      <c r="Y451">
        <f>IF(Table1[[#This Row],[hotwaterheating]]="yes", 1, 0)</f>
        <v>0</v>
      </c>
      <c r="Z451">
        <f>IF(Table1[[#This Row],[airconditioning]]="yes", 1, 0)</f>
        <v>0</v>
      </c>
      <c r="AA451">
        <v>0</v>
      </c>
      <c r="AB451">
        <f>IF(Table1[[#This Row],[prefarea]]= "yes", 1, 0)</f>
        <v>0</v>
      </c>
      <c r="AC451" s="1">
        <v>3150000</v>
      </c>
    </row>
    <row r="452" spans="1:29">
      <c r="A452">
        <v>3450</v>
      </c>
      <c r="B452" t="s">
        <v>16</v>
      </c>
      <c r="C452">
        <v>3</v>
      </c>
      <c r="D452">
        <v>1</v>
      </c>
      <c r="E452">
        <v>2</v>
      </c>
      <c r="F452" t="s">
        <v>13</v>
      </c>
      <c r="G452" t="s">
        <v>14</v>
      </c>
      <c r="H452" t="s">
        <v>13</v>
      </c>
      <c r="I452" t="s">
        <v>14</v>
      </c>
      <c r="J452" t="s">
        <v>14</v>
      </c>
      <c r="K452">
        <v>0</v>
      </c>
      <c r="L452" t="s">
        <v>14</v>
      </c>
      <c r="M452" s="1">
        <v>3150000</v>
      </c>
      <c r="P452">
        <v>3450</v>
      </c>
      <c r="Q452">
        <f>IF(Table1[[#This Row],[furnishingstatus]]="furnished", 1, 0)</f>
        <v>0</v>
      </c>
      <c r="R452">
        <f>IF(Table1[[#This Row],[furnishingstatus]]="semi-furnished", 1, 0)</f>
        <v>1</v>
      </c>
      <c r="S452">
        <v>3</v>
      </c>
      <c r="T452">
        <v>1</v>
      </c>
      <c r="U452">
        <v>2</v>
      </c>
      <c r="V452">
        <f>IF(Table1[[#This Row],[mainroad]] = "yes", 1, 0)</f>
        <v>1</v>
      </c>
      <c r="W452">
        <f>IF(Table1[[#This Row],[guestroom]]= "yes", 1, 0)</f>
        <v>0</v>
      </c>
      <c r="X452">
        <f>IF(Table1[[#This Row],[basement]]="yes", 1, 0)</f>
        <v>1</v>
      </c>
      <c r="Y452">
        <f>IF(Table1[[#This Row],[hotwaterheating]]="yes", 1, 0)</f>
        <v>0</v>
      </c>
      <c r="Z452">
        <f>IF(Table1[[#This Row],[airconditioning]]="yes", 1, 0)</f>
        <v>0</v>
      </c>
      <c r="AA452">
        <v>0</v>
      </c>
      <c r="AB452">
        <f>IF(Table1[[#This Row],[prefarea]]= "yes", 1, 0)</f>
        <v>0</v>
      </c>
      <c r="AC452" s="1">
        <v>3150000</v>
      </c>
    </row>
    <row r="453" spans="1:29">
      <c r="A453">
        <v>6750</v>
      </c>
      <c r="B453" t="s">
        <v>16</v>
      </c>
      <c r="C453">
        <v>2</v>
      </c>
      <c r="D453">
        <v>1</v>
      </c>
      <c r="E453">
        <v>1</v>
      </c>
      <c r="F453" t="s">
        <v>13</v>
      </c>
      <c r="G453" t="s">
        <v>14</v>
      </c>
      <c r="H453" t="s">
        <v>14</v>
      </c>
      <c r="I453" t="s">
        <v>14</v>
      </c>
      <c r="J453" t="s">
        <v>14</v>
      </c>
      <c r="K453">
        <v>0</v>
      </c>
      <c r="L453" t="s">
        <v>14</v>
      </c>
      <c r="M453" s="1">
        <v>3150000</v>
      </c>
      <c r="P453">
        <v>6750</v>
      </c>
      <c r="Q453">
        <f>IF(Table1[[#This Row],[furnishingstatus]]="furnished", 1, 0)</f>
        <v>0</v>
      </c>
      <c r="R453">
        <f>IF(Table1[[#This Row],[furnishingstatus]]="semi-furnished", 1, 0)</f>
        <v>1</v>
      </c>
      <c r="S453">
        <v>2</v>
      </c>
      <c r="T453">
        <v>1</v>
      </c>
      <c r="U453">
        <v>1</v>
      </c>
      <c r="V453">
        <f>IF(Table1[[#This Row],[mainroad]] = "yes", 1, 0)</f>
        <v>1</v>
      </c>
      <c r="W453">
        <f>IF(Table1[[#This Row],[guestroom]]= "yes", 1, 0)</f>
        <v>0</v>
      </c>
      <c r="X453">
        <f>IF(Table1[[#This Row],[basement]]="yes", 1, 0)</f>
        <v>0</v>
      </c>
      <c r="Y453">
        <f>IF(Table1[[#This Row],[hotwaterheating]]="yes", 1, 0)</f>
        <v>0</v>
      </c>
      <c r="Z453">
        <f>IF(Table1[[#This Row],[airconditioning]]="yes", 1, 0)</f>
        <v>0</v>
      </c>
      <c r="AA453">
        <v>0</v>
      </c>
      <c r="AB453">
        <f>IF(Table1[[#This Row],[prefarea]]= "yes", 1, 0)</f>
        <v>0</v>
      </c>
      <c r="AC453" s="1">
        <v>3150000</v>
      </c>
    </row>
    <row r="454" spans="1:29">
      <c r="A454">
        <v>9000</v>
      </c>
      <c r="B454" t="s">
        <v>16</v>
      </c>
      <c r="C454">
        <v>3</v>
      </c>
      <c r="D454">
        <v>1</v>
      </c>
      <c r="E454">
        <v>2</v>
      </c>
      <c r="F454" t="s">
        <v>13</v>
      </c>
      <c r="G454" t="s">
        <v>14</v>
      </c>
      <c r="H454" t="s">
        <v>14</v>
      </c>
      <c r="I454" t="s">
        <v>14</v>
      </c>
      <c r="J454" t="s">
        <v>14</v>
      </c>
      <c r="K454">
        <v>2</v>
      </c>
      <c r="L454" t="s">
        <v>14</v>
      </c>
      <c r="M454" s="1">
        <v>3150000</v>
      </c>
      <c r="P454">
        <v>9000</v>
      </c>
      <c r="Q454">
        <f>IF(Table1[[#This Row],[furnishingstatus]]="furnished", 1, 0)</f>
        <v>0</v>
      </c>
      <c r="R454">
        <f>IF(Table1[[#This Row],[furnishingstatus]]="semi-furnished", 1, 0)</f>
        <v>1</v>
      </c>
      <c r="S454">
        <v>3</v>
      </c>
      <c r="T454">
        <v>1</v>
      </c>
      <c r="U454">
        <v>2</v>
      </c>
      <c r="V454">
        <f>IF(Table1[[#This Row],[mainroad]] = "yes", 1, 0)</f>
        <v>1</v>
      </c>
      <c r="W454">
        <f>IF(Table1[[#This Row],[guestroom]]= "yes", 1, 0)</f>
        <v>0</v>
      </c>
      <c r="X454">
        <f>IF(Table1[[#This Row],[basement]]="yes", 1, 0)</f>
        <v>0</v>
      </c>
      <c r="Y454">
        <f>IF(Table1[[#This Row],[hotwaterheating]]="yes", 1, 0)</f>
        <v>0</v>
      </c>
      <c r="Z454">
        <f>IF(Table1[[#This Row],[airconditioning]]="yes", 1, 0)</f>
        <v>0</v>
      </c>
      <c r="AA454">
        <v>2</v>
      </c>
      <c r="AB454">
        <f>IF(Table1[[#This Row],[prefarea]]= "yes", 1, 0)</f>
        <v>0</v>
      </c>
      <c r="AC454" s="1">
        <v>3150000</v>
      </c>
    </row>
    <row r="455" spans="1:29">
      <c r="A455">
        <v>3069</v>
      </c>
      <c r="B455" t="s">
        <v>17</v>
      </c>
      <c r="C455">
        <v>2</v>
      </c>
      <c r="D455">
        <v>1</v>
      </c>
      <c r="E455">
        <v>1</v>
      </c>
      <c r="F455" t="s">
        <v>13</v>
      </c>
      <c r="G455" t="s">
        <v>14</v>
      </c>
      <c r="H455" t="s">
        <v>14</v>
      </c>
      <c r="I455" t="s">
        <v>14</v>
      </c>
      <c r="J455" t="s">
        <v>14</v>
      </c>
      <c r="K455">
        <v>1</v>
      </c>
      <c r="L455" t="s">
        <v>14</v>
      </c>
      <c r="M455" s="1">
        <v>3150000</v>
      </c>
      <c r="P455">
        <v>3069</v>
      </c>
      <c r="Q455">
        <f>IF(Table1[[#This Row],[furnishingstatus]]="furnished", 1, 0)</f>
        <v>0</v>
      </c>
      <c r="R455">
        <f>IF(Table1[[#This Row],[furnishingstatus]]="semi-furnished", 1, 0)</f>
        <v>0</v>
      </c>
      <c r="S455">
        <v>2</v>
      </c>
      <c r="T455">
        <v>1</v>
      </c>
      <c r="U455">
        <v>1</v>
      </c>
      <c r="V455">
        <f>IF(Table1[[#This Row],[mainroad]] = "yes", 1, 0)</f>
        <v>1</v>
      </c>
      <c r="W455">
        <f>IF(Table1[[#This Row],[guestroom]]= "yes", 1, 0)</f>
        <v>0</v>
      </c>
      <c r="X455">
        <f>IF(Table1[[#This Row],[basement]]="yes", 1, 0)</f>
        <v>0</v>
      </c>
      <c r="Y455">
        <f>IF(Table1[[#This Row],[hotwaterheating]]="yes", 1, 0)</f>
        <v>0</v>
      </c>
      <c r="Z455">
        <f>IF(Table1[[#This Row],[airconditioning]]="yes", 1, 0)</f>
        <v>0</v>
      </c>
      <c r="AA455">
        <v>1</v>
      </c>
      <c r="AB455">
        <f>IF(Table1[[#This Row],[prefarea]]= "yes", 1, 0)</f>
        <v>0</v>
      </c>
      <c r="AC455" s="1">
        <v>3150000</v>
      </c>
    </row>
    <row r="456" spans="1:29">
      <c r="A456">
        <v>4500</v>
      </c>
      <c r="B456" t="s">
        <v>17</v>
      </c>
      <c r="C456">
        <v>3</v>
      </c>
      <c r="D456">
        <v>1</v>
      </c>
      <c r="E456">
        <v>2</v>
      </c>
      <c r="F456" t="s">
        <v>13</v>
      </c>
      <c r="G456" t="s">
        <v>14</v>
      </c>
      <c r="H456" t="s">
        <v>14</v>
      </c>
      <c r="I456" t="s">
        <v>14</v>
      </c>
      <c r="J456" t="s">
        <v>13</v>
      </c>
      <c r="K456">
        <v>0</v>
      </c>
      <c r="L456" t="s">
        <v>14</v>
      </c>
      <c r="M456" s="1">
        <v>3143000</v>
      </c>
      <c r="P456">
        <v>4500</v>
      </c>
      <c r="Q456">
        <f>IF(Table1[[#This Row],[furnishingstatus]]="furnished", 1, 0)</f>
        <v>0</v>
      </c>
      <c r="R456">
        <f>IF(Table1[[#This Row],[furnishingstatus]]="semi-furnished", 1, 0)</f>
        <v>0</v>
      </c>
      <c r="S456">
        <v>3</v>
      </c>
      <c r="T456">
        <v>1</v>
      </c>
      <c r="U456">
        <v>2</v>
      </c>
      <c r="V456">
        <f>IF(Table1[[#This Row],[mainroad]] = "yes", 1, 0)</f>
        <v>1</v>
      </c>
      <c r="W456">
        <f>IF(Table1[[#This Row],[guestroom]]= "yes", 1, 0)</f>
        <v>0</v>
      </c>
      <c r="X456">
        <f>IF(Table1[[#This Row],[basement]]="yes", 1, 0)</f>
        <v>0</v>
      </c>
      <c r="Y456">
        <f>IF(Table1[[#This Row],[hotwaterheating]]="yes", 1, 0)</f>
        <v>0</v>
      </c>
      <c r="Z456">
        <f>IF(Table1[[#This Row],[airconditioning]]="yes", 1, 0)</f>
        <v>1</v>
      </c>
      <c r="AA456">
        <v>0</v>
      </c>
      <c r="AB456">
        <f>IF(Table1[[#This Row],[prefarea]]= "yes", 1, 0)</f>
        <v>0</v>
      </c>
      <c r="AC456" s="1">
        <v>3143000</v>
      </c>
    </row>
    <row r="457" spans="1:29">
      <c r="A457">
        <v>5495</v>
      </c>
      <c r="B457" t="s">
        <v>17</v>
      </c>
      <c r="C457">
        <v>3</v>
      </c>
      <c r="D457">
        <v>1</v>
      </c>
      <c r="E457">
        <v>1</v>
      </c>
      <c r="F457" t="s">
        <v>13</v>
      </c>
      <c r="G457" t="s">
        <v>14</v>
      </c>
      <c r="H457" t="s">
        <v>13</v>
      </c>
      <c r="I457" t="s">
        <v>14</v>
      </c>
      <c r="J457" t="s">
        <v>14</v>
      </c>
      <c r="K457">
        <v>0</v>
      </c>
      <c r="L457" t="s">
        <v>14</v>
      </c>
      <c r="M457" s="1">
        <v>3129000</v>
      </c>
      <c r="P457">
        <v>5495</v>
      </c>
      <c r="Q457">
        <f>IF(Table1[[#This Row],[furnishingstatus]]="furnished", 1, 0)</f>
        <v>0</v>
      </c>
      <c r="R457">
        <f>IF(Table1[[#This Row],[furnishingstatus]]="semi-furnished", 1, 0)</f>
        <v>0</v>
      </c>
      <c r="S457">
        <v>3</v>
      </c>
      <c r="T457">
        <v>1</v>
      </c>
      <c r="U457">
        <v>1</v>
      </c>
      <c r="V457">
        <f>IF(Table1[[#This Row],[mainroad]] = "yes", 1, 0)</f>
        <v>1</v>
      </c>
      <c r="W457">
        <f>IF(Table1[[#This Row],[guestroom]]= "yes", 1, 0)</f>
        <v>0</v>
      </c>
      <c r="X457">
        <f>IF(Table1[[#This Row],[basement]]="yes", 1, 0)</f>
        <v>1</v>
      </c>
      <c r="Y457">
        <f>IF(Table1[[#This Row],[hotwaterheating]]="yes", 1, 0)</f>
        <v>0</v>
      </c>
      <c r="Z457">
        <f>IF(Table1[[#This Row],[airconditioning]]="yes", 1, 0)</f>
        <v>0</v>
      </c>
      <c r="AA457">
        <v>0</v>
      </c>
      <c r="AB457">
        <f>IF(Table1[[#This Row],[prefarea]]= "yes", 1, 0)</f>
        <v>0</v>
      </c>
      <c r="AC457" s="1">
        <v>3129000</v>
      </c>
    </row>
    <row r="458" spans="1:29">
      <c r="A458">
        <v>2398</v>
      </c>
      <c r="B458" t="s">
        <v>16</v>
      </c>
      <c r="C458">
        <v>3</v>
      </c>
      <c r="D458">
        <v>1</v>
      </c>
      <c r="E458">
        <v>1</v>
      </c>
      <c r="F458" t="s">
        <v>13</v>
      </c>
      <c r="G458" t="s">
        <v>14</v>
      </c>
      <c r="H458" t="s">
        <v>14</v>
      </c>
      <c r="I458" t="s">
        <v>14</v>
      </c>
      <c r="J458" t="s">
        <v>14</v>
      </c>
      <c r="K458">
        <v>0</v>
      </c>
      <c r="L458" t="s">
        <v>13</v>
      </c>
      <c r="M458" s="1">
        <v>3118850</v>
      </c>
      <c r="P458">
        <v>2398</v>
      </c>
      <c r="Q458">
        <f>IF(Table1[[#This Row],[furnishingstatus]]="furnished", 1, 0)</f>
        <v>0</v>
      </c>
      <c r="R458">
        <f>IF(Table1[[#This Row],[furnishingstatus]]="semi-furnished", 1, 0)</f>
        <v>1</v>
      </c>
      <c r="S458">
        <v>3</v>
      </c>
      <c r="T458">
        <v>1</v>
      </c>
      <c r="U458">
        <v>1</v>
      </c>
      <c r="V458">
        <f>IF(Table1[[#This Row],[mainroad]] = "yes", 1, 0)</f>
        <v>1</v>
      </c>
      <c r="W458">
        <f>IF(Table1[[#This Row],[guestroom]]= "yes", 1, 0)</f>
        <v>0</v>
      </c>
      <c r="X458">
        <f>IF(Table1[[#This Row],[basement]]="yes", 1, 0)</f>
        <v>0</v>
      </c>
      <c r="Y458">
        <f>IF(Table1[[#This Row],[hotwaterheating]]="yes", 1, 0)</f>
        <v>0</v>
      </c>
      <c r="Z458">
        <f>IF(Table1[[#This Row],[airconditioning]]="yes", 1, 0)</f>
        <v>0</v>
      </c>
      <c r="AA458">
        <v>0</v>
      </c>
      <c r="AB458">
        <f>IF(Table1[[#This Row],[prefarea]]= "yes", 1, 0)</f>
        <v>1</v>
      </c>
      <c r="AC458" s="1">
        <v>3118850</v>
      </c>
    </row>
    <row r="459" spans="1:29">
      <c r="A459">
        <v>3000</v>
      </c>
      <c r="B459" t="s">
        <v>17</v>
      </c>
      <c r="C459">
        <v>3</v>
      </c>
      <c r="D459">
        <v>1</v>
      </c>
      <c r="E459">
        <v>1</v>
      </c>
      <c r="F459" t="s">
        <v>14</v>
      </c>
      <c r="G459" t="s">
        <v>14</v>
      </c>
      <c r="H459" t="s">
        <v>14</v>
      </c>
      <c r="I459" t="s">
        <v>14</v>
      </c>
      <c r="J459" t="s">
        <v>13</v>
      </c>
      <c r="K459">
        <v>0</v>
      </c>
      <c r="L459" t="s">
        <v>14</v>
      </c>
      <c r="M459" s="1">
        <v>3115000</v>
      </c>
      <c r="P459">
        <v>3000</v>
      </c>
      <c r="Q459">
        <f>IF(Table1[[#This Row],[furnishingstatus]]="furnished", 1, 0)</f>
        <v>0</v>
      </c>
      <c r="R459">
        <f>IF(Table1[[#This Row],[furnishingstatus]]="semi-furnished", 1, 0)</f>
        <v>0</v>
      </c>
      <c r="S459">
        <v>3</v>
      </c>
      <c r="T459">
        <v>1</v>
      </c>
      <c r="U459">
        <v>1</v>
      </c>
      <c r="V459">
        <f>IF(Table1[[#This Row],[mainroad]] = "yes", 1, 0)</f>
        <v>0</v>
      </c>
      <c r="W459">
        <f>IF(Table1[[#This Row],[guestroom]]= "yes", 1, 0)</f>
        <v>0</v>
      </c>
      <c r="X459">
        <f>IF(Table1[[#This Row],[basement]]="yes", 1, 0)</f>
        <v>0</v>
      </c>
      <c r="Y459">
        <f>IF(Table1[[#This Row],[hotwaterheating]]="yes", 1, 0)</f>
        <v>0</v>
      </c>
      <c r="Z459">
        <f>IF(Table1[[#This Row],[airconditioning]]="yes", 1, 0)</f>
        <v>1</v>
      </c>
      <c r="AA459">
        <v>0</v>
      </c>
      <c r="AB459">
        <f>IF(Table1[[#This Row],[prefarea]]= "yes", 1, 0)</f>
        <v>0</v>
      </c>
      <c r="AC459" s="1">
        <v>3115000</v>
      </c>
    </row>
    <row r="460" spans="1:29">
      <c r="A460">
        <v>3850</v>
      </c>
      <c r="B460" t="s">
        <v>17</v>
      </c>
      <c r="C460">
        <v>3</v>
      </c>
      <c r="D460">
        <v>1</v>
      </c>
      <c r="E460">
        <v>2</v>
      </c>
      <c r="F460" t="s">
        <v>13</v>
      </c>
      <c r="G460" t="s">
        <v>14</v>
      </c>
      <c r="H460" t="s">
        <v>14</v>
      </c>
      <c r="I460" t="s">
        <v>14</v>
      </c>
      <c r="J460" t="s">
        <v>14</v>
      </c>
      <c r="K460">
        <v>0</v>
      </c>
      <c r="L460" t="s">
        <v>14</v>
      </c>
      <c r="M460" s="1">
        <v>3115000</v>
      </c>
      <c r="P460">
        <v>3850</v>
      </c>
      <c r="Q460">
        <f>IF(Table1[[#This Row],[furnishingstatus]]="furnished", 1, 0)</f>
        <v>0</v>
      </c>
      <c r="R460">
        <f>IF(Table1[[#This Row],[furnishingstatus]]="semi-furnished", 1, 0)</f>
        <v>0</v>
      </c>
      <c r="S460">
        <v>3</v>
      </c>
      <c r="T460">
        <v>1</v>
      </c>
      <c r="U460">
        <v>2</v>
      </c>
      <c r="V460">
        <f>IF(Table1[[#This Row],[mainroad]] = "yes", 1, 0)</f>
        <v>1</v>
      </c>
      <c r="W460">
        <f>IF(Table1[[#This Row],[guestroom]]= "yes", 1, 0)</f>
        <v>0</v>
      </c>
      <c r="X460">
        <f>IF(Table1[[#This Row],[basement]]="yes", 1, 0)</f>
        <v>0</v>
      </c>
      <c r="Y460">
        <f>IF(Table1[[#This Row],[hotwaterheating]]="yes", 1, 0)</f>
        <v>0</v>
      </c>
      <c r="Z460">
        <f>IF(Table1[[#This Row],[airconditioning]]="yes", 1, 0)</f>
        <v>0</v>
      </c>
      <c r="AA460">
        <v>0</v>
      </c>
      <c r="AB460">
        <f>IF(Table1[[#This Row],[prefarea]]= "yes", 1, 0)</f>
        <v>0</v>
      </c>
      <c r="AC460" s="1">
        <v>3115000</v>
      </c>
    </row>
    <row r="461" spans="1:29">
      <c r="A461">
        <v>3500</v>
      </c>
      <c r="B461" t="s">
        <v>17</v>
      </c>
      <c r="C461">
        <v>2</v>
      </c>
      <c r="D461">
        <v>1</v>
      </c>
      <c r="E461">
        <v>1</v>
      </c>
      <c r="F461" t="s">
        <v>13</v>
      </c>
      <c r="G461" t="s">
        <v>14</v>
      </c>
      <c r="H461" t="s">
        <v>14</v>
      </c>
      <c r="I461" t="s">
        <v>14</v>
      </c>
      <c r="J461" t="s">
        <v>14</v>
      </c>
      <c r="K461">
        <v>0</v>
      </c>
      <c r="L461" t="s">
        <v>14</v>
      </c>
      <c r="M461" s="1">
        <v>3115000</v>
      </c>
      <c r="P461">
        <v>3500</v>
      </c>
      <c r="Q461">
        <f>IF(Table1[[#This Row],[furnishingstatus]]="furnished", 1, 0)</f>
        <v>0</v>
      </c>
      <c r="R461">
        <f>IF(Table1[[#This Row],[furnishingstatus]]="semi-furnished", 1, 0)</f>
        <v>0</v>
      </c>
      <c r="S461">
        <v>2</v>
      </c>
      <c r="T461">
        <v>1</v>
      </c>
      <c r="U461">
        <v>1</v>
      </c>
      <c r="V461">
        <f>IF(Table1[[#This Row],[mainroad]] = "yes", 1, 0)</f>
        <v>1</v>
      </c>
      <c r="W461">
        <f>IF(Table1[[#This Row],[guestroom]]= "yes", 1, 0)</f>
        <v>0</v>
      </c>
      <c r="X461">
        <f>IF(Table1[[#This Row],[basement]]="yes", 1, 0)</f>
        <v>0</v>
      </c>
      <c r="Y461">
        <f>IF(Table1[[#This Row],[hotwaterheating]]="yes", 1, 0)</f>
        <v>0</v>
      </c>
      <c r="Z461">
        <f>IF(Table1[[#This Row],[airconditioning]]="yes", 1, 0)</f>
        <v>0</v>
      </c>
      <c r="AA461">
        <v>0</v>
      </c>
      <c r="AB461">
        <f>IF(Table1[[#This Row],[prefarea]]= "yes", 1, 0)</f>
        <v>0</v>
      </c>
      <c r="AC461" s="1">
        <v>3115000</v>
      </c>
    </row>
    <row r="462" spans="1:29">
      <c r="A462">
        <v>8100</v>
      </c>
      <c r="B462" t="s">
        <v>17</v>
      </c>
      <c r="C462">
        <v>2</v>
      </c>
      <c r="D462">
        <v>1</v>
      </c>
      <c r="E462">
        <v>1</v>
      </c>
      <c r="F462" t="s">
        <v>13</v>
      </c>
      <c r="G462" t="s">
        <v>14</v>
      </c>
      <c r="H462" t="s">
        <v>14</v>
      </c>
      <c r="I462" t="s">
        <v>14</v>
      </c>
      <c r="J462" t="s">
        <v>14</v>
      </c>
      <c r="K462">
        <v>1</v>
      </c>
      <c r="L462" t="s">
        <v>14</v>
      </c>
      <c r="M462" s="1">
        <v>3087000</v>
      </c>
      <c r="P462">
        <v>8100</v>
      </c>
      <c r="Q462">
        <f>IF(Table1[[#This Row],[furnishingstatus]]="furnished", 1, 0)</f>
        <v>0</v>
      </c>
      <c r="R462">
        <f>IF(Table1[[#This Row],[furnishingstatus]]="semi-furnished", 1, 0)</f>
        <v>0</v>
      </c>
      <c r="S462">
        <v>2</v>
      </c>
      <c r="T462">
        <v>1</v>
      </c>
      <c r="U462">
        <v>1</v>
      </c>
      <c r="V462">
        <f>IF(Table1[[#This Row],[mainroad]] = "yes", 1, 0)</f>
        <v>1</v>
      </c>
      <c r="W462">
        <f>IF(Table1[[#This Row],[guestroom]]= "yes", 1, 0)</f>
        <v>0</v>
      </c>
      <c r="X462">
        <f>IF(Table1[[#This Row],[basement]]="yes", 1, 0)</f>
        <v>0</v>
      </c>
      <c r="Y462">
        <f>IF(Table1[[#This Row],[hotwaterheating]]="yes", 1, 0)</f>
        <v>0</v>
      </c>
      <c r="Z462">
        <f>IF(Table1[[#This Row],[airconditioning]]="yes", 1, 0)</f>
        <v>0</v>
      </c>
      <c r="AA462">
        <v>1</v>
      </c>
      <c r="AB462">
        <f>IF(Table1[[#This Row],[prefarea]]= "yes", 1, 0)</f>
        <v>0</v>
      </c>
      <c r="AC462" s="1">
        <v>3087000</v>
      </c>
    </row>
    <row r="463" spans="1:29">
      <c r="A463">
        <v>4960</v>
      </c>
      <c r="B463" t="s">
        <v>17</v>
      </c>
      <c r="C463">
        <v>2</v>
      </c>
      <c r="D463">
        <v>1</v>
      </c>
      <c r="E463">
        <v>1</v>
      </c>
      <c r="F463" t="s">
        <v>13</v>
      </c>
      <c r="G463" t="s">
        <v>14</v>
      </c>
      <c r="H463" t="s">
        <v>13</v>
      </c>
      <c r="I463" t="s">
        <v>14</v>
      </c>
      <c r="J463" t="s">
        <v>13</v>
      </c>
      <c r="K463">
        <v>0</v>
      </c>
      <c r="L463" t="s">
        <v>14</v>
      </c>
      <c r="M463" s="1">
        <v>3080000</v>
      </c>
      <c r="P463">
        <v>4960</v>
      </c>
      <c r="Q463">
        <f>IF(Table1[[#This Row],[furnishingstatus]]="furnished", 1, 0)</f>
        <v>0</v>
      </c>
      <c r="R463">
        <f>IF(Table1[[#This Row],[furnishingstatus]]="semi-furnished", 1, 0)</f>
        <v>0</v>
      </c>
      <c r="S463">
        <v>2</v>
      </c>
      <c r="T463">
        <v>1</v>
      </c>
      <c r="U463">
        <v>1</v>
      </c>
      <c r="V463">
        <f>IF(Table1[[#This Row],[mainroad]] = "yes", 1, 0)</f>
        <v>1</v>
      </c>
      <c r="W463">
        <f>IF(Table1[[#This Row],[guestroom]]= "yes", 1, 0)</f>
        <v>0</v>
      </c>
      <c r="X463">
        <f>IF(Table1[[#This Row],[basement]]="yes", 1, 0)</f>
        <v>1</v>
      </c>
      <c r="Y463">
        <f>IF(Table1[[#This Row],[hotwaterheating]]="yes", 1, 0)</f>
        <v>0</v>
      </c>
      <c r="Z463">
        <f>IF(Table1[[#This Row],[airconditioning]]="yes", 1, 0)</f>
        <v>1</v>
      </c>
      <c r="AA463">
        <v>0</v>
      </c>
      <c r="AB463">
        <f>IF(Table1[[#This Row],[prefarea]]= "yes", 1, 0)</f>
        <v>0</v>
      </c>
      <c r="AC463" s="1">
        <v>3080000</v>
      </c>
    </row>
    <row r="464" spans="1:29">
      <c r="A464">
        <v>2160</v>
      </c>
      <c r="B464" t="s">
        <v>16</v>
      </c>
      <c r="C464">
        <v>3</v>
      </c>
      <c r="D464">
        <v>1</v>
      </c>
      <c r="E464">
        <v>2</v>
      </c>
      <c r="F464" t="s">
        <v>14</v>
      </c>
      <c r="G464" t="s">
        <v>14</v>
      </c>
      <c r="H464" t="s">
        <v>13</v>
      </c>
      <c r="I464" t="s">
        <v>14</v>
      </c>
      <c r="J464" t="s">
        <v>14</v>
      </c>
      <c r="K464">
        <v>0</v>
      </c>
      <c r="L464" t="s">
        <v>14</v>
      </c>
      <c r="M464" s="1">
        <v>3080000</v>
      </c>
      <c r="P464">
        <v>2160</v>
      </c>
      <c r="Q464">
        <f>IF(Table1[[#This Row],[furnishingstatus]]="furnished", 1, 0)</f>
        <v>0</v>
      </c>
      <c r="R464">
        <f>IF(Table1[[#This Row],[furnishingstatus]]="semi-furnished", 1, 0)</f>
        <v>1</v>
      </c>
      <c r="S464">
        <v>3</v>
      </c>
      <c r="T464">
        <v>1</v>
      </c>
      <c r="U464">
        <v>2</v>
      </c>
      <c r="V464">
        <f>IF(Table1[[#This Row],[mainroad]] = "yes", 1, 0)</f>
        <v>0</v>
      </c>
      <c r="W464">
        <f>IF(Table1[[#This Row],[guestroom]]= "yes", 1, 0)</f>
        <v>0</v>
      </c>
      <c r="X464">
        <f>IF(Table1[[#This Row],[basement]]="yes", 1, 0)</f>
        <v>1</v>
      </c>
      <c r="Y464">
        <f>IF(Table1[[#This Row],[hotwaterheating]]="yes", 1, 0)</f>
        <v>0</v>
      </c>
      <c r="Z464">
        <f>IF(Table1[[#This Row],[airconditioning]]="yes", 1, 0)</f>
        <v>0</v>
      </c>
      <c r="AA464">
        <v>0</v>
      </c>
      <c r="AB464">
        <f>IF(Table1[[#This Row],[prefarea]]= "yes", 1, 0)</f>
        <v>0</v>
      </c>
      <c r="AC464" s="1">
        <v>3080000</v>
      </c>
    </row>
    <row r="465" spans="1:29">
      <c r="A465">
        <v>3090</v>
      </c>
      <c r="B465" t="s">
        <v>17</v>
      </c>
      <c r="C465">
        <v>2</v>
      </c>
      <c r="D465">
        <v>1</v>
      </c>
      <c r="E465">
        <v>1</v>
      </c>
      <c r="F465" t="s">
        <v>13</v>
      </c>
      <c r="G465" t="s">
        <v>13</v>
      </c>
      <c r="H465" t="s">
        <v>13</v>
      </c>
      <c r="I465" t="s">
        <v>14</v>
      </c>
      <c r="J465" t="s">
        <v>14</v>
      </c>
      <c r="K465">
        <v>0</v>
      </c>
      <c r="L465" t="s">
        <v>14</v>
      </c>
      <c r="M465" s="1">
        <v>3080000</v>
      </c>
      <c r="P465">
        <v>3090</v>
      </c>
      <c r="Q465">
        <f>IF(Table1[[#This Row],[furnishingstatus]]="furnished", 1, 0)</f>
        <v>0</v>
      </c>
      <c r="R465">
        <f>IF(Table1[[#This Row],[furnishingstatus]]="semi-furnished", 1, 0)</f>
        <v>0</v>
      </c>
      <c r="S465">
        <v>2</v>
      </c>
      <c r="T465">
        <v>1</v>
      </c>
      <c r="U465">
        <v>1</v>
      </c>
      <c r="V465">
        <f>IF(Table1[[#This Row],[mainroad]] = "yes", 1, 0)</f>
        <v>1</v>
      </c>
      <c r="W465">
        <f>IF(Table1[[#This Row],[guestroom]]= "yes", 1, 0)</f>
        <v>1</v>
      </c>
      <c r="X465">
        <f>IF(Table1[[#This Row],[basement]]="yes", 1, 0)</f>
        <v>1</v>
      </c>
      <c r="Y465">
        <f>IF(Table1[[#This Row],[hotwaterheating]]="yes", 1, 0)</f>
        <v>0</v>
      </c>
      <c r="Z465">
        <f>IF(Table1[[#This Row],[airconditioning]]="yes", 1, 0)</f>
        <v>0</v>
      </c>
      <c r="AA465">
        <v>0</v>
      </c>
      <c r="AB465">
        <f>IF(Table1[[#This Row],[prefarea]]= "yes", 1, 0)</f>
        <v>0</v>
      </c>
      <c r="AC465" s="1">
        <v>3080000</v>
      </c>
    </row>
    <row r="466" spans="1:29">
      <c r="A466">
        <v>4500</v>
      </c>
      <c r="B466" t="s">
        <v>16</v>
      </c>
      <c r="C466">
        <v>2</v>
      </c>
      <c r="D466">
        <v>1</v>
      </c>
      <c r="E466">
        <v>2</v>
      </c>
      <c r="F466" t="s">
        <v>13</v>
      </c>
      <c r="G466" t="s">
        <v>14</v>
      </c>
      <c r="H466" t="s">
        <v>14</v>
      </c>
      <c r="I466" t="s">
        <v>13</v>
      </c>
      <c r="J466" t="s">
        <v>14</v>
      </c>
      <c r="K466">
        <v>1</v>
      </c>
      <c r="L466" t="s">
        <v>14</v>
      </c>
      <c r="M466" s="1">
        <v>3080000</v>
      </c>
      <c r="P466">
        <v>4500</v>
      </c>
      <c r="Q466">
        <f>IF(Table1[[#This Row],[furnishingstatus]]="furnished", 1, 0)</f>
        <v>0</v>
      </c>
      <c r="R466">
        <f>IF(Table1[[#This Row],[furnishingstatus]]="semi-furnished", 1, 0)</f>
        <v>1</v>
      </c>
      <c r="S466">
        <v>2</v>
      </c>
      <c r="T466">
        <v>1</v>
      </c>
      <c r="U466">
        <v>2</v>
      </c>
      <c r="V466">
        <f>IF(Table1[[#This Row],[mainroad]] = "yes", 1, 0)</f>
        <v>1</v>
      </c>
      <c r="W466">
        <f>IF(Table1[[#This Row],[guestroom]]= "yes", 1, 0)</f>
        <v>0</v>
      </c>
      <c r="X466">
        <f>IF(Table1[[#This Row],[basement]]="yes", 1, 0)</f>
        <v>0</v>
      </c>
      <c r="Y466">
        <f>IF(Table1[[#This Row],[hotwaterheating]]="yes", 1, 0)</f>
        <v>1</v>
      </c>
      <c r="Z466">
        <f>IF(Table1[[#This Row],[airconditioning]]="yes", 1, 0)</f>
        <v>0</v>
      </c>
      <c r="AA466">
        <v>1</v>
      </c>
      <c r="AB466">
        <f>IF(Table1[[#This Row],[prefarea]]= "yes", 1, 0)</f>
        <v>0</v>
      </c>
      <c r="AC466" s="1">
        <v>3080000</v>
      </c>
    </row>
    <row r="467" spans="1:29">
      <c r="A467">
        <v>3800</v>
      </c>
      <c r="B467" t="s">
        <v>17</v>
      </c>
      <c r="C467">
        <v>2</v>
      </c>
      <c r="D467">
        <v>1</v>
      </c>
      <c r="E467">
        <v>1</v>
      </c>
      <c r="F467" t="s">
        <v>13</v>
      </c>
      <c r="G467" t="s">
        <v>14</v>
      </c>
      <c r="H467" t="s">
        <v>14</v>
      </c>
      <c r="I467" t="s">
        <v>14</v>
      </c>
      <c r="J467" t="s">
        <v>14</v>
      </c>
      <c r="K467">
        <v>0</v>
      </c>
      <c r="L467" t="s">
        <v>14</v>
      </c>
      <c r="M467" s="1">
        <v>3045000</v>
      </c>
      <c r="P467">
        <v>3800</v>
      </c>
      <c r="Q467">
        <f>IF(Table1[[#This Row],[furnishingstatus]]="furnished", 1, 0)</f>
        <v>0</v>
      </c>
      <c r="R467">
        <f>IF(Table1[[#This Row],[furnishingstatus]]="semi-furnished", 1, 0)</f>
        <v>0</v>
      </c>
      <c r="S467">
        <v>2</v>
      </c>
      <c r="T467">
        <v>1</v>
      </c>
      <c r="U467">
        <v>1</v>
      </c>
      <c r="V467">
        <f>IF(Table1[[#This Row],[mainroad]] = "yes", 1, 0)</f>
        <v>1</v>
      </c>
      <c r="W467">
        <f>IF(Table1[[#This Row],[guestroom]]= "yes", 1, 0)</f>
        <v>0</v>
      </c>
      <c r="X467">
        <f>IF(Table1[[#This Row],[basement]]="yes", 1, 0)</f>
        <v>0</v>
      </c>
      <c r="Y467">
        <f>IF(Table1[[#This Row],[hotwaterheating]]="yes", 1, 0)</f>
        <v>0</v>
      </c>
      <c r="Z467">
        <f>IF(Table1[[#This Row],[airconditioning]]="yes", 1, 0)</f>
        <v>0</v>
      </c>
      <c r="AA467">
        <v>0</v>
      </c>
      <c r="AB467">
        <f>IF(Table1[[#This Row],[prefarea]]= "yes", 1, 0)</f>
        <v>0</v>
      </c>
      <c r="AC467" s="1">
        <v>3045000</v>
      </c>
    </row>
    <row r="468" spans="1:29">
      <c r="A468">
        <v>3090</v>
      </c>
      <c r="B468" t="s">
        <v>16</v>
      </c>
      <c r="C468">
        <v>3</v>
      </c>
      <c r="D468">
        <v>1</v>
      </c>
      <c r="E468">
        <v>2</v>
      </c>
      <c r="F468" t="s">
        <v>14</v>
      </c>
      <c r="G468" t="s">
        <v>14</v>
      </c>
      <c r="H468" t="s">
        <v>14</v>
      </c>
      <c r="I468" t="s">
        <v>14</v>
      </c>
      <c r="J468" t="s">
        <v>14</v>
      </c>
      <c r="K468">
        <v>0</v>
      </c>
      <c r="L468" t="s">
        <v>14</v>
      </c>
      <c r="M468" s="1">
        <v>3010000</v>
      </c>
      <c r="P468">
        <v>3090</v>
      </c>
      <c r="Q468">
        <f>IF(Table1[[#This Row],[furnishingstatus]]="furnished", 1, 0)</f>
        <v>0</v>
      </c>
      <c r="R468">
        <f>IF(Table1[[#This Row],[furnishingstatus]]="semi-furnished", 1, 0)</f>
        <v>1</v>
      </c>
      <c r="S468">
        <v>3</v>
      </c>
      <c r="T468">
        <v>1</v>
      </c>
      <c r="U468">
        <v>2</v>
      </c>
      <c r="V468">
        <f>IF(Table1[[#This Row],[mainroad]] = "yes", 1, 0)</f>
        <v>0</v>
      </c>
      <c r="W468">
        <f>IF(Table1[[#This Row],[guestroom]]= "yes", 1, 0)</f>
        <v>0</v>
      </c>
      <c r="X468">
        <f>IF(Table1[[#This Row],[basement]]="yes", 1, 0)</f>
        <v>0</v>
      </c>
      <c r="Y468">
        <f>IF(Table1[[#This Row],[hotwaterheating]]="yes", 1, 0)</f>
        <v>0</v>
      </c>
      <c r="Z468">
        <f>IF(Table1[[#This Row],[airconditioning]]="yes", 1, 0)</f>
        <v>0</v>
      </c>
      <c r="AA468">
        <v>0</v>
      </c>
      <c r="AB468">
        <f>IF(Table1[[#This Row],[prefarea]]= "yes", 1, 0)</f>
        <v>0</v>
      </c>
      <c r="AC468" s="1">
        <v>3010000</v>
      </c>
    </row>
    <row r="469" spans="1:29">
      <c r="A469">
        <v>3240</v>
      </c>
      <c r="B469" t="s">
        <v>16</v>
      </c>
      <c r="C469">
        <v>3</v>
      </c>
      <c r="D469">
        <v>1</v>
      </c>
      <c r="E469">
        <v>2</v>
      </c>
      <c r="F469" t="s">
        <v>13</v>
      </c>
      <c r="G469" t="s">
        <v>14</v>
      </c>
      <c r="H469" t="s">
        <v>14</v>
      </c>
      <c r="I469" t="s">
        <v>14</v>
      </c>
      <c r="J469" t="s">
        <v>14</v>
      </c>
      <c r="K469">
        <v>2</v>
      </c>
      <c r="L469" t="s">
        <v>14</v>
      </c>
      <c r="M469" s="1">
        <v>3010000</v>
      </c>
      <c r="P469">
        <v>3240</v>
      </c>
      <c r="Q469">
        <f>IF(Table1[[#This Row],[furnishingstatus]]="furnished", 1, 0)</f>
        <v>0</v>
      </c>
      <c r="R469">
        <f>IF(Table1[[#This Row],[furnishingstatus]]="semi-furnished", 1, 0)</f>
        <v>1</v>
      </c>
      <c r="S469">
        <v>3</v>
      </c>
      <c r="T469">
        <v>1</v>
      </c>
      <c r="U469">
        <v>2</v>
      </c>
      <c r="V469">
        <f>IF(Table1[[#This Row],[mainroad]] = "yes", 1, 0)</f>
        <v>1</v>
      </c>
      <c r="W469">
        <f>IF(Table1[[#This Row],[guestroom]]= "yes", 1, 0)</f>
        <v>0</v>
      </c>
      <c r="X469">
        <f>IF(Table1[[#This Row],[basement]]="yes", 1, 0)</f>
        <v>0</v>
      </c>
      <c r="Y469">
        <f>IF(Table1[[#This Row],[hotwaterheating]]="yes", 1, 0)</f>
        <v>0</v>
      </c>
      <c r="Z469">
        <f>IF(Table1[[#This Row],[airconditioning]]="yes", 1, 0)</f>
        <v>0</v>
      </c>
      <c r="AA469">
        <v>2</v>
      </c>
      <c r="AB469">
        <f>IF(Table1[[#This Row],[prefarea]]= "yes", 1, 0)</f>
        <v>0</v>
      </c>
      <c r="AC469" s="1">
        <v>3010000</v>
      </c>
    </row>
    <row r="470" spans="1:29">
      <c r="A470">
        <v>2835</v>
      </c>
      <c r="B470" t="s">
        <v>16</v>
      </c>
      <c r="C470">
        <v>2</v>
      </c>
      <c r="D470">
        <v>1</v>
      </c>
      <c r="E470">
        <v>1</v>
      </c>
      <c r="F470" t="s">
        <v>13</v>
      </c>
      <c r="G470" t="s">
        <v>14</v>
      </c>
      <c r="H470" t="s">
        <v>14</v>
      </c>
      <c r="I470" t="s">
        <v>14</v>
      </c>
      <c r="J470" t="s">
        <v>14</v>
      </c>
      <c r="K470">
        <v>0</v>
      </c>
      <c r="L470" t="s">
        <v>14</v>
      </c>
      <c r="M470" s="1">
        <v>3010000</v>
      </c>
      <c r="P470">
        <v>2835</v>
      </c>
      <c r="Q470">
        <f>IF(Table1[[#This Row],[furnishingstatus]]="furnished", 1, 0)</f>
        <v>0</v>
      </c>
      <c r="R470">
        <f>IF(Table1[[#This Row],[furnishingstatus]]="semi-furnished", 1, 0)</f>
        <v>1</v>
      </c>
      <c r="S470">
        <v>2</v>
      </c>
      <c r="T470">
        <v>1</v>
      </c>
      <c r="U470">
        <v>1</v>
      </c>
      <c r="V470">
        <f>IF(Table1[[#This Row],[mainroad]] = "yes", 1, 0)</f>
        <v>1</v>
      </c>
      <c r="W470">
        <f>IF(Table1[[#This Row],[guestroom]]= "yes", 1, 0)</f>
        <v>0</v>
      </c>
      <c r="X470">
        <f>IF(Table1[[#This Row],[basement]]="yes", 1, 0)</f>
        <v>0</v>
      </c>
      <c r="Y470">
        <f>IF(Table1[[#This Row],[hotwaterheating]]="yes", 1, 0)</f>
        <v>0</v>
      </c>
      <c r="Z470">
        <f>IF(Table1[[#This Row],[airconditioning]]="yes", 1, 0)</f>
        <v>0</v>
      </c>
      <c r="AA470">
        <v>0</v>
      </c>
      <c r="AB470">
        <f>IF(Table1[[#This Row],[prefarea]]= "yes", 1, 0)</f>
        <v>0</v>
      </c>
      <c r="AC470" s="1">
        <v>3010000</v>
      </c>
    </row>
    <row r="471" spans="1:29">
      <c r="A471">
        <v>4600</v>
      </c>
      <c r="B471" t="s">
        <v>15</v>
      </c>
      <c r="C471">
        <v>2</v>
      </c>
      <c r="D471">
        <v>1</v>
      </c>
      <c r="E471">
        <v>1</v>
      </c>
      <c r="F471" t="s">
        <v>13</v>
      </c>
      <c r="G471" t="s">
        <v>14</v>
      </c>
      <c r="H471" t="s">
        <v>14</v>
      </c>
      <c r="I471" t="s">
        <v>14</v>
      </c>
      <c r="J471" t="s">
        <v>14</v>
      </c>
      <c r="K471">
        <v>0</v>
      </c>
      <c r="L471" t="s">
        <v>14</v>
      </c>
      <c r="M471" s="1">
        <v>3010000</v>
      </c>
      <c r="P471">
        <v>4600</v>
      </c>
      <c r="Q471">
        <f>IF(Table1[[#This Row],[furnishingstatus]]="furnished", 1, 0)</f>
        <v>1</v>
      </c>
      <c r="R471">
        <f>IF(Table1[[#This Row],[furnishingstatus]]="semi-furnished", 1, 0)</f>
        <v>0</v>
      </c>
      <c r="S471">
        <v>2</v>
      </c>
      <c r="T471">
        <v>1</v>
      </c>
      <c r="U471">
        <v>1</v>
      </c>
      <c r="V471">
        <f>IF(Table1[[#This Row],[mainroad]] = "yes", 1, 0)</f>
        <v>1</v>
      </c>
      <c r="W471">
        <f>IF(Table1[[#This Row],[guestroom]]= "yes", 1, 0)</f>
        <v>0</v>
      </c>
      <c r="X471">
        <f>IF(Table1[[#This Row],[basement]]="yes", 1, 0)</f>
        <v>0</v>
      </c>
      <c r="Y471">
        <f>IF(Table1[[#This Row],[hotwaterheating]]="yes", 1, 0)</f>
        <v>0</v>
      </c>
      <c r="Z471">
        <f>IF(Table1[[#This Row],[airconditioning]]="yes", 1, 0)</f>
        <v>0</v>
      </c>
      <c r="AA471">
        <v>0</v>
      </c>
      <c r="AB471">
        <f>IF(Table1[[#This Row],[prefarea]]= "yes", 1, 0)</f>
        <v>0</v>
      </c>
      <c r="AC471" s="1">
        <v>3010000</v>
      </c>
    </row>
    <row r="472" spans="1:29">
      <c r="A472">
        <v>5076</v>
      </c>
      <c r="B472" t="s">
        <v>17</v>
      </c>
      <c r="C472">
        <v>3</v>
      </c>
      <c r="D472">
        <v>1</v>
      </c>
      <c r="E472">
        <v>1</v>
      </c>
      <c r="F472" t="s">
        <v>14</v>
      </c>
      <c r="G472" t="s">
        <v>14</v>
      </c>
      <c r="H472" t="s">
        <v>14</v>
      </c>
      <c r="I472" t="s">
        <v>14</v>
      </c>
      <c r="J472" t="s">
        <v>14</v>
      </c>
      <c r="K472">
        <v>0</v>
      </c>
      <c r="L472" t="s">
        <v>14</v>
      </c>
      <c r="M472" s="1">
        <v>3010000</v>
      </c>
      <c r="P472">
        <v>5076</v>
      </c>
      <c r="Q472">
        <f>IF(Table1[[#This Row],[furnishingstatus]]="furnished", 1, 0)</f>
        <v>0</v>
      </c>
      <c r="R472">
        <f>IF(Table1[[#This Row],[furnishingstatus]]="semi-furnished", 1, 0)</f>
        <v>0</v>
      </c>
      <c r="S472">
        <v>3</v>
      </c>
      <c r="T472">
        <v>1</v>
      </c>
      <c r="U472">
        <v>1</v>
      </c>
      <c r="V472">
        <f>IF(Table1[[#This Row],[mainroad]] = "yes", 1, 0)</f>
        <v>0</v>
      </c>
      <c r="W472">
        <f>IF(Table1[[#This Row],[guestroom]]= "yes", 1, 0)</f>
        <v>0</v>
      </c>
      <c r="X472">
        <f>IF(Table1[[#This Row],[basement]]="yes", 1, 0)</f>
        <v>0</v>
      </c>
      <c r="Y472">
        <f>IF(Table1[[#This Row],[hotwaterheating]]="yes", 1, 0)</f>
        <v>0</v>
      </c>
      <c r="Z472">
        <f>IF(Table1[[#This Row],[airconditioning]]="yes", 1, 0)</f>
        <v>0</v>
      </c>
      <c r="AA472">
        <v>0</v>
      </c>
      <c r="AB472">
        <f>IF(Table1[[#This Row],[prefarea]]= "yes", 1, 0)</f>
        <v>0</v>
      </c>
      <c r="AC472" s="1">
        <v>3010000</v>
      </c>
    </row>
    <row r="473" spans="1:29">
      <c r="A473">
        <v>3750</v>
      </c>
      <c r="B473" t="s">
        <v>17</v>
      </c>
      <c r="C473">
        <v>3</v>
      </c>
      <c r="D473">
        <v>1</v>
      </c>
      <c r="E473">
        <v>2</v>
      </c>
      <c r="F473" t="s">
        <v>13</v>
      </c>
      <c r="G473" t="s">
        <v>14</v>
      </c>
      <c r="H473" t="s">
        <v>14</v>
      </c>
      <c r="I473" t="s">
        <v>14</v>
      </c>
      <c r="J473" t="s">
        <v>14</v>
      </c>
      <c r="K473">
        <v>0</v>
      </c>
      <c r="L473" t="s">
        <v>14</v>
      </c>
      <c r="M473" s="1">
        <v>3010000</v>
      </c>
      <c r="P473">
        <v>3750</v>
      </c>
      <c r="Q473">
        <f>IF(Table1[[#This Row],[furnishingstatus]]="furnished", 1, 0)</f>
        <v>0</v>
      </c>
      <c r="R473">
        <f>IF(Table1[[#This Row],[furnishingstatus]]="semi-furnished", 1, 0)</f>
        <v>0</v>
      </c>
      <c r="S473">
        <v>3</v>
      </c>
      <c r="T473">
        <v>1</v>
      </c>
      <c r="U473">
        <v>2</v>
      </c>
      <c r="V473">
        <f>IF(Table1[[#This Row],[mainroad]] = "yes", 1, 0)</f>
        <v>1</v>
      </c>
      <c r="W473">
        <f>IF(Table1[[#This Row],[guestroom]]= "yes", 1, 0)</f>
        <v>0</v>
      </c>
      <c r="X473">
        <f>IF(Table1[[#This Row],[basement]]="yes", 1, 0)</f>
        <v>0</v>
      </c>
      <c r="Y473">
        <f>IF(Table1[[#This Row],[hotwaterheating]]="yes", 1, 0)</f>
        <v>0</v>
      </c>
      <c r="Z473">
        <f>IF(Table1[[#This Row],[airconditioning]]="yes", 1, 0)</f>
        <v>0</v>
      </c>
      <c r="AA473">
        <v>0</v>
      </c>
      <c r="AB473">
        <f>IF(Table1[[#This Row],[prefarea]]= "yes", 1, 0)</f>
        <v>0</v>
      </c>
      <c r="AC473" s="1">
        <v>3010000</v>
      </c>
    </row>
    <row r="474" spans="1:29">
      <c r="A474">
        <v>3630</v>
      </c>
      <c r="B474" t="s">
        <v>16</v>
      </c>
      <c r="C474">
        <v>4</v>
      </c>
      <c r="D474">
        <v>1</v>
      </c>
      <c r="E474">
        <v>2</v>
      </c>
      <c r="F474" t="s">
        <v>13</v>
      </c>
      <c r="G474" t="s">
        <v>14</v>
      </c>
      <c r="H474" t="s">
        <v>14</v>
      </c>
      <c r="I474" t="s">
        <v>14</v>
      </c>
      <c r="J474" t="s">
        <v>14</v>
      </c>
      <c r="K474">
        <v>3</v>
      </c>
      <c r="L474" t="s">
        <v>14</v>
      </c>
      <c r="M474" s="1">
        <v>3010000</v>
      </c>
      <c r="P474">
        <v>3630</v>
      </c>
      <c r="Q474">
        <f>IF(Table1[[#This Row],[furnishingstatus]]="furnished", 1, 0)</f>
        <v>0</v>
      </c>
      <c r="R474">
        <f>IF(Table1[[#This Row],[furnishingstatus]]="semi-furnished", 1, 0)</f>
        <v>1</v>
      </c>
      <c r="S474">
        <v>4</v>
      </c>
      <c r="T474">
        <v>1</v>
      </c>
      <c r="U474">
        <v>2</v>
      </c>
      <c r="V474">
        <f>IF(Table1[[#This Row],[mainroad]] = "yes", 1, 0)</f>
        <v>1</v>
      </c>
      <c r="W474">
        <f>IF(Table1[[#This Row],[guestroom]]= "yes", 1, 0)</f>
        <v>0</v>
      </c>
      <c r="X474">
        <f>IF(Table1[[#This Row],[basement]]="yes", 1, 0)</f>
        <v>0</v>
      </c>
      <c r="Y474">
        <f>IF(Table1[[#This Row],[hotwaterheating]]="yes", 1, 0)</f>
        <v>0</v>
      </c>
      <c r="Z474">
        <f>IF(Table1[[#This Row],[airconditioning]]="yes", 1, 0)</f>
        <v>0</v>
      </c>
      <c r="AA474">
        <v>3</v>
      </c>
      <c r="AB474">
        <f>IF(Table1[[#This Row],[prefarea]]= "yes", 1, 0)</f>
        <v>0</v>
      </c>
      <c r="AC474" s="1">
        <v>3010000</v>
      </c>
    </row>
    <row r="475" spans="1:29">
      <c r="A475">
        <v>8050</v>
      </c>
      <c r="B475" t="s">
        <v>17</v>
      </c>
      <c r="C475">
        <v>2</v>
      </c>
      <c r="D475">
        <v>1</v>
      </c>
      <c r="E475">
        <v>1</v>
      </c>
      <c r="F475" t="s">
        <v>13</v>
      </c>
      <c r="G475" t="s">
        <v>14</v>
      </c>
      <c r="H475" t="s">
        <v>14</v>
      </c>
      <c r="I475" t="s">
        <v>14</v>
      </c>
      <c r="J475" t="s">
        <v>14</v>
      </c>
      <c r="K475">
        <v>0</v>
      </c>
      <c r="L475" t="s">
        <v>14</v>
      </c>
      <c r="M475" s="1">
        <v>3003000</v>
      </c>
      <c r="P475">
        <v>8050</v>
      </c>
      <c r="Q475">
        <f>IF(Table1[[#This Row],[furnishingstatus]]="furnished", 1, 0)</f>
        <v>0</v>
      </c>
      <c r="R475">
        <f>IF(Table1[[#This Row],[furnishingstatus]]="semi-furnished", 1, 0)</f>
        <v>0</v>
      </c>
      <c r="S475">
        <v>2</v>
      </c>
      <c r="T475">
        <v>1</v>
      </c>
      <c r="U475">
        <v>1</v>
      </c>
      <c r="V475">
        <f>IF(Table1[[#This Row],[mainroad]] = "yes", 1, 0)</f>
        <v>1</v>
      </c>
      <c r="W475">
        <f>IF(Table1[[#This Row],[guestroom]]= "yes", 1, 0)</f>
        <v>0</v>
      </c>
      <c r="X475">
        <f>IF(Table1[[#This Row],[basement]]="yes", 1, 0)</f>
        <v>0</v>
      </c>
      <c r="Y475">
        <f>IF(Table1[[#This Row],[hotwaterheating]]="yes", 1, 0)</f>
        <v>0</v>
      </c>
      <c r="Z475">
        <f>IF(Table1[[#This Row],[airconditioning]]="yes", 1, 0)</f>
        <v>0</v>
      </c>
      <c r="AA475">
        <v>0</v>
      </c>
      <c r="AB475">
        <f>IF(Table1[[#This Row],[prefarea]]= "yes", 1, 0)</f>
        <v>0</v>
      </c>
      <c r="AC475" s="1">
        <v>3003000</v>
      </c>
    </row>
    <row r="476" spans="1:29">
      <c r="A476">
        <v>4352</v>
      </c>
      <c r="B476" t="s">
        <v>17</v>
      </c>
      <c r="C476">
        <v>4</v>
      </c>
      <c r="D476">
        <v>1</v>
      </c>
      <c r="E476">
        <v>2</v>
      </c>
      <c r="F476" t="s">
        <v>14</v>
      </c>
      <c r="G476" t="s">
        <v>14</v>
      </c>
      <c r="H476" t="s">
        <v>14</v>
      </c>
      <c r="I476" t="s">
        <v>14</v>
      </c>
      <c r="J476" t="s">
        <v>14</v>
      </c>
      <c r="K476">
        <v>1</v>
      </c>
      <c r="L476" t="s">
        <v>14</v>
      </c>
      <c r="M476" s="1">
        <v>2975000</v>
      </c>
      <c r="P476">
        <v>4352</v>
      </c>
      <c r="Q476">
        <f>IF(Table1[[#This Row],[furnishingstatus]]="furnished", 1, 0)</f>
        <v>0</v>
      </c>
      <c r="R476">
        <f>IF(Table1[[#This Row],[furnishingstatus]]="semi-furnished", 1, 0)</f>
        <v>0</v>
      </c>
      <c r="S476">
        <v>4</v>
      </c>
      <c r="T476">
        <v>1</v>
      </c>
      <c r="U476">
        <v>2</v>
      </c>
      <c r="V476">
        <f>IF(Table1[[#This Row],[mainroad]] = "yes", 1, 0)</f>
        <v>0</v>
      </c>
      <c r="W476">
        <f>IF(Table1[[#This Row],[guestroom]]= "yes", 1, 0)</f>
        <v>0</v>
      </c>
      <c r="X476">
        <f>IF(Table1[[#This Row],[basement]]="yes", 1, 0)</f>
        <v>0</v>
      </c>
      <c r="Y476">
        <f>IF(Table1[[#This Row],[hotwaterheating]]="yes", 1, 0)</f>
        <v>0</v>
      </c>
      <c r="Z476">
        <f>IF(Table1[[#This Row],[airconditioning]]="yes", 1, 0)</f>
        <v>0</v>
      </c>
      <c r="AA476">
        <v>1</v>
      </c>
      <c r="AB476">
        <f>IF(Table1[[#This Row],[prefarea]]= "yes", 1, 0)</f>
        <v>0</v>
      </c>
      <c r="AC476" s="1">
        <v>2975000</v>
      </c>
    </row>
    <row r="477" spans="1:29">
      <c r="A477">
        <v>3000</v>
      </c>
      <c r="B477" t="s">
        <v>16</v>
      </c>
      <c r="C477">
        <v>2</v>
      </c>
      <c r="D477">
        <v>1</v>
      </c>
      <c r="E477">
        <v>2</v>
      </c>
      <c r="F477" t="s">
        <v>13</v>
      </c>
      <c r="G477" t="s">
        <v>14</v>
      </c>
      <c r="H477" t="s">
        <v>14</v>
      </c>
      <c r="I477" t="s">
        <v>14</v>
      </c>
      <c r="J477" t="s">
        <v>14</v>
      </c>
      <c r="K477">
        <v>0</v>
      </c>
      <c r="L477" t="s">
        <v>14</v>
      </c>
      <c r="M477" s="1">
        <v>2961000</v>
      </c>
      <c r="P477">
        <v>3000</v>
      </c>
      <c r="Q477">
        <f>IF(Table1[[#This Row],[furnishingstatus]]="furnished", 1, 0)</f>
        <v>0</v>
      </c>
      <c r="R477">
        <f>IF(Table1[[#This Row],[furnishingstatus]]="semi-furnished", 1, 0)</f>
        <v>1</v>
      </c>
      <c r="S477">
        <v>2</v>
      </c>
      <c r="T477">
        <v>1</v>
      </c>
      <c r="U477">
        <v>2</v>
      </c>
      <c r="V477">
        <f>IF(Table1[[#This Row],[mainroad]] = "yes", 1, 0)</f>
        <v>1</v>
      </c>
      <c r="W477">
        <f>IF(Table1[[#This Row],[guestroom]]= "yes", 1, 0)</f>
        <v>0</v>
      </c>
      <c r="X477">
        <f>IF(Table1[[#This Row],[basement]]="yes", 1, 0)</f>
        <v>0</v>
      </c>
      <c r="Y477">
        <f>IF(Table1[[#This Row],[hotwaterheating]]="yes", 1, 0)</f>
        <v>0</v>
      </c>
      <c r="Z477">
        <f>IF(Table1[[#This Row],[airconditioning]]="yes", 1, 0)</f>
        <v>0</v>
      </c>
      <c r="AA477">
        <v>0</v>
      </c>
      <c r="AB477">
        <f>IF(Table1[[#This Row],[prefarea]]= "yes", 1, 0)</f>
        <v>0</v>
      </c>
      <c r="AC477" s="1">
        <v>2961000</v>
      </c>
    </row>
    <row r="478" spans="1:29">
      <c r="A478">
        <v>5850</v>
      </c>
      <c r="B478" t="s">
        <v>17</v>
      </c>
      <c r="C478">
        <v>3</v>
      </c>
      <c r="D478">
        <v>1</v>
      </c>
      <c r="E478">
        <v>2</v>
      </c>
      <c r="F478" t="s">
        <v>13</v>
      </c>
      <c r="G478" t="s">
        <v>14</v>
      </c>
      <c r="H478" t="s">
        <v>13</v>
      </c>
      <c r="I478" t="s">
        <v>14</v>
      </c>
      <c r="J478" t="s">
        <v>14</v>
      </c>
      <c r="K478">
        <v>1</v>
      </c>
      <c r="L478" t="s">
        <v>14</v>
      </c>
      <c r="M478" s="1">
        <v>2940000</v>
      </c>
      <c r="P478">
        <v>5850</v>
      </c>
      <c r="Q478">
        <f>IF(Table1[[#This Row],[furnishingstatus]]="furnished", 1, 0)</f>
        <v>0</v>
      </c>
      <c r="R478">
        <f>IF(Table1[[#This Row],[furnishingstatus]]="semi-furnished", 1, 0)</f>
        <v>0</v>
      </c>
      <c r="S478">
        <v>3</v>
      </c>
      <c r="T478">
        <v>1</v>
      </c>
      <c r="U478">
        <v>2</v>
      </c>
      <c r="V478">
        <f>IF(Table1[[#This Row],[mainroad]] = "yes", 1, 0)</f>
        <v>1</v>
      </c>
      <c r="W478">
        <f>IF(Table1[[#This Row],[guestroom]]= "yes", 1, 0)</f>
        <v>0</v>
      </c>
      <c r="X478">
        <f>IF(Table1[[#This Row],[basement]]="yes", 1, 0)</f>
        <v>1</v>
      </c>
      <c r="Y478">
        <f>IF(Table1[[#This Row],[hotwaterheating]]="yes", 1, 0)</f>
        <v>0</v>
      </c>
      <c r="Z478">
        <f>IF(Table1[[#This Row],[airconditioning]]="yes", 1, 0)</f>
        <v>0</v>
      </c>
      <c r="AA478">
        <v>1</v>
      </c>
      <c r="AB478">
        <f>IF(Table1[[#This Row],[prefarea]]= "yes", 1, 0)</f>
        <v>0</v>
      </c>
      <c r="AC478" s="1">
        <v>2940000</v>
      </c>
    </row>
    <row r="479" spans="1:29">
      <c r="A479">
        <v>4960</v>
      </c>
      <c r="B479" t="s">
        <v>17</v>
      </c>
      <c r="C479">
        <v>2</v>
      </c>
      <c r="D479">
        <v>1</v>
      </c>
      <c r="E479">
        <v>1</v>
      </c>
      <c r="F479" t="s">
        <v>13</v>
      </c>
      <c r="G479" t="s">
        <v>14</v>
      </c>
      <c r="H479" t="s">
        <v>14</v>
      </c>
      <c r="I479" t="s">
        <v>14</v>
      </c>
      <c r="J479" t="s">
        <v>14</v>
      </c>
      <c r="K479">
        <v>0</v>
      </c>
      <c r="L479" t="s">
        <v>14</v>
      </c>
      <c r="M479" s="1">
        <v>2940000</v>
      </c>
      <c r="P479">
        <v>4960</v>
      </c>
      <c r="Q479">
        <f>IF(Table1[[#This Row],[furnishingstatus]]="furnished", 1, 0)</f>
        <v>0</v>
      </c>
      <c r="R479">
        <f>IF(Table1[[#This Row],[furnishingstatus]]="semi-furnished", 1, 0)</f>
        <v>0</v>
      </c>
      <c r="S479">
        <v>2</v>
      </c>
      <c r="T479">
        <v>1</v>
      </c>
      <c r="U479">
        <v>1</v>
      </c>
      <c r="V479">
        <f>IF(Table1[[#This Row],[mainroad]] = "yes", 1, 0)</f>
        <v>1</v>
      </c>
      <c r="W479">
        <f>IF(Table1[[#This Row],[guestroom]]= "yes", 1, 0)</f>
        <v>0</v>
      </c>
      <c r="X479">
        <f>IF(Table1[[#This Row],[basement]]="yes", 1, 0)</f>
        <v>0</v>
      </c>
      <c r="Y479">
        <f>IF(Table1[[#This Row],[hotwaterheating]]="yes", 1, 0)</f>
        <v>0</v>
      </c>
      <c r="Z479">
        <f>IF(Table1[[#This Row],[airconditioning]]="yes", 1, 0)</f>
        <v>0</v>
      </c>
      <c r="AA479">
        <v>0</v>
      </c>
      <c r="AB479">
        <f>IF(Table1[[#This Row],[prefarea]]= "yes", 1, 0)</f>
        <v>0</v>
      </c>
      <c r="AC479" s="1">
        <v>2940000</v>
      </c>
    </row>
    <row r="480" spans="1:29">
      <c r="A480">
        <v>3600</v>
      </c>
      <c r="B480" t="s">
        <v>17</v>
      </c>
      <c r="C480">
        <v>3</v>
      </c>
      <c r="D480">
        <v>1</v>
      </c>
      <c r="E480">
        <v>2</v>
      </c>
      <c r="F480" t="s">
        <v>14</v>
      </c>
      <c r="G480" t="s">
        <v>14</v>
      </c>
      <c r="H480" t="s">
        <v>14</v>
      </c>
      <c r="I480" t="s">
        <v>14</v>
      </c>
      <c r="J480" t="s">
        <v>14</v>
      </c>
      <c r="K480">
        <v>1</v>
      </c>
      <c r="L480" t="s">
        <v>14</v>
      </c>
      <c r="M480" s="1">
        <v>2940000</v>
      </c>
      <c r="P480">
        <v>3600</v>
      </c>
      <c r="Q480">
        <f>IF(Table1[[#This Row],[furnishingstatus]]="furnished", 1, 0)</f>
        <v>0</v>
      </c>
      <c r="R480">
        <f>IF(Table1[[#This Row],[furnishingstatus]]="semi-furnished", 1, 0)</f>
        <v>0</v>
      </c>
      <c r="S480">
        <v>3</v>
      </c>
      <c r="T480">
        <v>1</v>
      </c>
      <c r="U480">
        <v>2</v>
      </c>
      <c r="V480">
        <f>IF(Table1[[#This Row],[mainroad]] = "yes", 1, 0)</f>
        <v>0</v>
      </c>
      <c r="W480">
        <f>IF(Table1[[#This Row],[guestroom]]= "yes", 1, 0)</f>
        <v>0</v>
      </c>
      <c r="X480">
        <f>IF(Table1[[#This Row],[basement]]="yes", 1, 0)</f>
        <v>0</v>
      </c>
      <c r="Y480">
        <f>IF(Table1[[#This Row],[hotwaterheating]]="yes", 1, 0)</f>
        <v>0</v>
      </c>
      <c r="Z480">
        <f>IF(Table1[[#This Row],[airconditioning]]="yes", 1, 0)</f>
        <v>0</v>
      </c>
      <c r="AA480">
        <v>1</v>
      </c>
      <c r="AB480">
        <f>IF(Table1[[#This Row],[prefarea]]= "yes", 1, 0)</f>
        <v>0</v>
      </c>
      <c r="AC480" s="1">
        <v>2940000</v>
      </c>
    </row>
    <row r="481" spans="1:29">
      <c r="A481">
        <v>3660</v>
      </c>
      <c r="B481" t="s">
        <v>17</v>
      </c>
      <c r="C481">
        <v>4</v>
      </c>
      <c r="D481">
        <v>1</v>
      </c>
      <c r="E481">
        <v>2</v>
      </c>
      <c r="F481" t="s">
        <v>14</v>
      </c>
      <c r="G481" t="s">
        <v>14</v>
      </c>
      <c r="H481" t="s">
        <v>14</v>
      </c>
      <c r="I481" t="s">
        <v>14</v>
      </c>
      <c r="J481" t="s">
        <v>14</v>
      </c>
      <c r="K481">
        <v>0</v>
      </c>
      <c r="L481" t="s">
        <v>14</v>
      </c>
      <c r="M481" s="1">
        <v>2940000</v>
      </c>
      <c r="P481">
        <v>3660</v>
      </c>
      <c r="Q481">
        <f>IF(Table1[[#This Row],[furnishingstatus]]="furnished", 1, 0)</f>
        <v>0</v>
      </c>
      <c r="R481">
        <f>IF(Table1[[#This Row],[furnishingstatus]]="semi-furnished", 1, 0)</f>
        <v>0</v>
      </c>
      <c r="S481">
        <v>4</v>
      </c>
      <c r="T481">
        <v>1</v>
      </c>
      <c r="U481">
        <v>2</v>
      </c>
      <c r="V481">
        <f>IF(Table1[[#This Row],[mainroad]] = "yes", 1, 0)</f>
        <v>0</v>
      </c>
      <c r="W481">
        <f>IF(Table1[[#This Row],[guestroom]]= "yes", 1, 0)</f>
        <v>0</v>
      </c>
      <c r="X481">
        <f>IF(Table1[[#This Row],[basement]]="yes", 1, 0)</f>
        <v>0</v>
      </c>
      <c r="Y481">
        <f>IF(Table1[[#This Row],[hotwaterheating]]="yes", 1, 0)</f>
        <v>0</v>
      </c>
      <c r="Z481">
        <f>IF(Table1[[#This Row],[airconditioning]]="yes", 1, 0)</f>
        <v>0</v>
      </c>
      <c r="AA481">
        <v>0</v>
      </c>
      <c r="AB481">
        <f>IF(Table1[[#This Row],[prefarea]]= "yes", 1, 0)</f>
        <v>0</v>
      </c>
      <c r="AC481" s="1">
        <v>2940000</v>
      </c>
    </row>
    <row r="482" spans="1:29">
      <c r="A482">
        <v>3480</v>
      </c>
      <c r="B482" t="s">
        <v>16</v>
      </c>
      <c r="C482">
        <v>3</v>
      </c>
      <c r="D482">
        <v>1</v>
      </c>
      <c r="E482">
        <v>2</v>
      </c>
      <c r="F482" t="s">
        <v>14</v>
      </c>
      <c r="G482" t="s">
        <v>14</v>
      </c>
      <c r="H482" t="s">
        <v>14</v>
      </c>
      <c r="I482" t="s">
        <v>14</v>
      </c>
      <c r="J482" t="s">
        <v>14</v>
      </c>
      <c r="K482">
        <v>1</v>
      </c>
      <c r="L482" t="s">
        <v>14</v>
      </c>
      <c r="M482" s="1">
        <v>2940000</v>
      </c>
      <c r="P482">
        <v>3480</v>
      </c>
      <c r="Q482">
        <f>IF(Table1[[#This Row],[furnishingstatus]]="furnished", 1, 0)</f>
        <v>0</v>
      </c>
      <c r="R482">
        <f>IF(Table1[[#This Row],[furnishingstatus]]="semi-furnished", 1, 0)</f>
        <v>1</v>
      </c>
      <c r="S482">
        <v>3</v>
      </c>
      <c r="T482">
        <v>1</v>
      </c>
      <c r="U482">
        <v>2</v>
      </c>
      <c r="V482">
        <f>IF(Table1[[#This Row],[mainroad]] = "yes", 1, 0)</f>
        <v>0</v>
      </c>
      <c r="W482">
        <f>IF(Table1[[#This Row],[guestroom]]= "yes", 1, 0)</f>
        <v>0</v>
      </c>
      <c r="X482">
        <f>IF(Table1[[#This Row],[basement]]="yes", 1, 0)</f>
        <v>0</v>
      </c>
      <c r="Y482">
        <f>IF(Table1[[#This Row],[hotwaterheating]]="yes", 1, 0)</f>
        <v>0</v>
      </c>
      <c r="Z482">
        <f>IF(Table1[[#This Row],[airconditioning]]="yes", 1, 0)</f>
        <v>0</v>
      </c>
      <c r="AA482">
        <v>1</v>
      </c>
      <c r="AB482">
        <f>IF(Table1[[#This Row],[prefarea]]= "yes", 1, 0)</f>
        <v>0</v>
      </c>
      <c r="AC482" s="1">
        <v>2940000</v>
      </c>
    </row>
    <row r="483" spans="1:29">
      <c r="A483">
        <v>2700</v>
      </c>
      <c r="B483" t="s">
        <v>15</v>
      </c>
      <c r="C483">
        <v>2</v>
      </c>
      <c r="D483">
        <v>1</v>
      </c>
      <c r="E483">
        <v>1</v>
      </c>
      <c r="F483" t="s">
        <v>14</v>
      </c>
      <c r="G483" t="s">
        <v>14</v>
      </c>
      <c r="H483" t="s">
        <v>14</v>
      </c>
      <c r="I483" t="s">
        <v>14</v>
      </c>
      <c r="J483" t="s">
        <v>14</v>
      </c>
      <c r="K483">
        <v>0</v>
      </c>
      <c r="L483" t="s">
        <v>14</v>
      </c>
      <c r="M483" s="1">
        <v>2940000</v>
      </c>
      <c r="P483">
        <v>2700</v>
      </c>
      <c r="Q483">
        <f>IF(Table1[[#This Row],[furnishingstatus]]="furnished", 1, 0)</f>
        <v>1</v>
      </c>
      <c r="R483">
        <f>IF(Table1[[#This Row],[furnishingstatus]]="semi-furnished", 1, 0)</f>
        <v>0</v>
      </c>
      <c r="S483">
        <v>2</v>
      </c>
      <c r="T483">
        <v>1</v>
      </c>
      <c r="U483">
        <v>1</v>
      </c>
      <c r="V483">
        <f>IF(Table1[[#This Row],[mainroad]] = "yes", 1, 0)</f>
        <v>0</v>
      </c>
      <c r="W483">
        <f>IF(Table1[[#This Row],[guestroom]]= "yes", 1, 0)</f>
        <v>0</v>
      </c>
      <c r="X483">
        <f>IF(Table1[[#This Row],[basement]]="yes", 1, 0)</f>
        <v>0</v>
      </c>
      <c r="Y483">
        <f>IF(Table1[[#This Row],[hotwaterheating]]="yes", 1, 0)</f>
        <v>0</v>
      </c>
      <c r="Z483">
        <f>IF(Table1[[#This Row],[airconditioning]]="yes", 1, 0)</f>
        <v>0</v>
      </c>
      <c r="AA483">
        <v>0</v>
      </c>
      <c r="AB483">
        <f>IF(Table1[[#This Row],[prefarea]]= "yes", 1, 0)</f>
        <v>0</v>
      </c>
      <c r="AC483" s="1">
        <v>2940000</v>
      </c>
    </row>
    <row r="484" spans="1:29">
      <c r="A484">
        <v>3150</v>
      </c>
      <c r="B484" t="s">
        <v>17</v>
      </c>
      <c r="C484">
        <v>3</v>
      </c>
      <c r="D484">
        <v>1</v>
      </c>
      <c r="E484">
        <v>2</v>
      </c>
      <c r="F484" t="s">
        <v>14</v>
      </c>
      <c r="G484" t="s">
        <v>14</v>
      </c>
      <c r="H484" t="s">
        <v>14</v>
      </c>
      <c r="I484" t="s">
        <v>14</v>
      </c>
      <c r="J484" t="s">
        <v>14</v>
      </c>
      <c r="K484">
        <v>0</v>
      </c>
      <c r="L484" t="s">
        <v>14</v>
      </c>
      <c r="M484" s="1">
        <v>2940000</v>
      </c>
      <c r="P484">
        <v>3150</v>
      </c>
      <c r="Q484">
        <f>IF(Table1[[#This Row],[furnishingstatus]]="furnished", 1, 0)</f>
        <v>0</v>
      </c>
      <c r="R484">
        <f>IF(Table1[[#This Row],[furnishingstatus]]="semi-furnished", 1, 0)</f>
        <v>0</v>
      </c>
      <c r="S484">
        <v>3</v>
      </c>
      <c r="T484">
        <v>1</v>
      </c>
      <c r="U484">
        <v>2</v>
      </c>
      <c r="V484">
        <f>IF(Table1[[#This Row],[mainroad]] = "yes", 1, 0)</f>
        <v>0</v>
      </c>
      <c r="W484">
        <f>IF(Table1[[#This Row],[guestroom]]= "yes", 1, 0)</f>
        <v>0</v>
      </c>
      <c r="X484">
        <f>IF(Table1[[#This Row],[basement]]="yes", 1, 0)</f>
        <v>0</v>
      </c>
      <c r="Y484">
        <f>IF(Table1[[#This Row],[hotwaterheating]]="yes", 1, 0)</f>
        <v>0</v>
      </c>
      <c r="Z484">
        <f>IF(Table1[[#This Row],[airconditioning]]="yes", 1, 0)</f>
        <v>0</v>
      </c>
      <c r="AA484">
        <v>0</v>
      </c>
      <c r="AB484">
        <f>IF(Table1[[#This Row],[prefarea]]= "yes", 1, 0)</f>
        <v>0</v>
      </c>
      <c r="AC484" s="1">
        <v>2940000</v>
      </c>
    </row>
    <row r="485" spans="1:29">
      <c r="A485">
        <v>6615</v>
      </c>
      <c r="B485" t="s">
        <v>16</v>
      </c>
      <c r="C485">
        <v>3</v>
      </c>
      <c r="D485">
        <v>1</v>
      </c>
      <c r="E485">
        <v>2</v>
      </c>
      <c r="F485" t="s">
        <v>13</v>
      </c>
      <c r="G485" t="s">
        <v>14</v>
      </c>
      <c r="H485" t="s">
        <v>14</v>
      </c>
      <c r="I485" t="s">
        <v>14</v>
      </c>
      <c r="J485" t="s">
        <v>14</v>
      </c>
      <c r="K485">
        <v>0</v>
      </c>
      <c r="L485" t="s">
        <v>14</v>
      </c>
      <c r="M485" s="1">
        <v>2940000</v>
      </c>
      <c r="P485">
        <v>6615</v>
      </c>
      <c r="Q485">
        <f>IF(Table1[[#This Row],[furnishingstatus]]="furnished", 1, 0)</f>
        <v>0</v>
      </c>
      <c r="R485">
        <f>IF(Table1[[#This Row],[furnishingstatus]]="semi-furnished", 1, 0)</f>
        <v>1</v>
      </c>
      <c r="S485">
        <v>3</v>
      </c>
      <c r="T485">
        <v>1</v>
      </c>
      <c r="U485">
        <v>2</v>
      </c>
      <c r="V485">
        <f>IF(Table1[[#This Row],[mainroad]] = "yes", 1, 0)</f>
        <v>1</v>
      </c>
      <c r="W485">
        <f>IF(Table1[[#This Row],[guestroom]]= "yes", 1, 0)</f>
        <v>0</v>
      </c>
      <c r="X485">
        <f>IF(Table1[[#This Row],[basement]]="yes", 1, 0)</f>
        <v>0</v>
      </c>
      <c r="Y485">
        <f>IF(Table1[[#This Row],[hotwaterheating]]="yes", 1, 0)</f>
        <v>0</v>
      </c>
      <c r="Z485">
        <f>IF(Table1[[#This Row],[airconditioning]]="yes", 1, 0)</f>
        <v>0</v>
      </c>
      <c r="AA485">
        <v>0</v>
      </c>
      <c r="AB485">
        <f>IF(Table1[[#This Row],[prefarea]]= "yes", 1, 0)</f>
        <v>0</v>
      </c>
      <c r="AC485" s="1">
        <v>2940000</v>
      </c>
    </row>
    <row r="486" spans="1:29">
      <c r="A486">
        <v>3040</v>
      </c>
      <c r="B486" t="s">
        <v>17</v>
      </c>
      <c r="C486">
        <v>2</v>
      </c>
      <c r="D486">
        <v>1</v>
      </c>
      <c r="E486">
        <v>1</v>
      </c>
      <c r="F486" t="s">
        <v>14</v>
      </c>
      <c r="G486" t="s">
        <v>14</v>
      </c>
      <c r="H486" t="s">
        <v>14</v>
      </c>
      <c r="I486" t="s">
        <v>14</v>
      </c>
      <c r="J486" t="s">
        <v>14</v>
      </c>
      <c r="K486">
        <v>0</v>
      </c>
      <c r="L486" t="s">
        <v>14</v>
      </c>
      <c r="M486" s="1">
        <v>2870000</v>
      </c>
      <c r="P486">
        <v>3040</v>
      </c>
      <c r="Q486">
        <f>IF(Table1[[#This Row],[furnishingstatus]]="furnished", 1, 0)</f>
        <v>0</v>
      </c>
      <c r="R486">
        <f>IF(Table1[[#This Row],[furnishingstatus]]="semi-furnished", 1, 0)</f>
        <v>0</v>
      </c>
      <c r="S486">
        <v>2</v>
      </c>
      <c r="T486">
        <v>1</v>
      </c>
      <c r="U486">
        <v>1</v>
      </c>
      <c r="V486">
        <f>IF(Table1[[#This Row],[mainroad]] = "yes", 1, 0)</f>
        <v>0</v>
      </c>
      <c r="W486">
        <f>IF(Table1[[#This Row],[guestroom]]= "yes", 1, 0)</f>
        <v>0</v>
      </c>
      <c r="X486">
        <f>IF(Table1[[#This Row],[basement]]="yes", 1, 0)</f>
        <v>0</v>
      </c>
      <c r="Y486">
        <f>IF(Table1[[#This Row],[hotwaterheating]]="yes", 1, 0)</f>
        <v>0</v>
      </c>
      <c r="Z486">
        <f>IF(Table1[[#This Row],[airconditioning]]="yes", 1, 0)</f>
        <v>0</v>
      </c>
      <c r="AA486">
        <v>0</v>
      </c>
      <c r="AB486">
        <f>IF(Table1[[#This Row],[prefarea]]= "yes", 1, 0)</f>
        <v>0</v>
      </c>
      <c r="AC486" s="1">
        <v>2870000</v>
      </c>
    </row>
    <row r="487" spans="1:29">
      <c r="A487">
        <v>3630</v>
      </c>
      <c r="B487" t="s">
        <v>17</v>
      </c>
      <c r="C487">
        <v>2</v>
      </c>
      <c r="D487">
        <v>1</v>
      </c>
      <c r="E487">
        <v>1</v>
      </c>
      <c r="F487" t="s">
        <v>13</v>
      </c>
      <c r="G487" t="s">
        <v>14</v>
      </c>
      <c r="H487" t="s">
        <v>14</v>
      </c>
      <c r="I487" t="s">
        <v>14</v>
      </c>
      <c r="J487" t="s">
        <v>14</v>
      </c>
      <c r="K487">
        <v>0</v>
      </c>
      <c r="L487" t="s">
        <v>14</v>
      </c>
      <c r="M487" s="1">
        <v>2870000</v>
      </c>
      <c r="P487">
        <v>3630</v>
      </c>
      <c r="Q487">
        <f>IF(Table1[[#This Row],[furnishingstatus]]="furnished", 1, 0)</f>
        <v>0</v>
      </c>
      <c r="R487">
        <f>IF(Table1[[#This Row],[furnishingstatus]]="semi-furnished", 1, 0)</f>
        <v>0</v>
      </c>
      <c r="S487">
        <v>2</v>
      </c>
      <c r="T487">
        <v>1</v>
      </c>
      <c r="U487">
        <v>1</v>
      </c>
      <c r="V487">
        <f>IF(Table1[[#This Row],[mainroad]] = "yes", 1, 0)</f>
        <v>1</v>
      </c>
      <c r="W487">
        <f>IF(Table1[[#This Row],[guestroom]]= "yes", 1, 0)</f>
        <v>0</v>
      </c>
      <c r="X487">
        <f>IF(Table1[[#This Row],[basement]]="yes", 1, 0)</f>
        <v>0</v>
      </c>
      <c r="Y487">
        <f>IF(Table1[[#This Row],[hotwaterheating]]="yes", 1, 0)</f>
        <v>0</v>
      </c>
      <c r="Z487">
        <f>IF(Table1[[#This Row],[airconditioning]]="yes", 1, 0)</f>
        <v>0</v>
      </c>
      <c r="AA487">
        <v>0</v>
      </c>
      <c r="AB487">
        <f>IF(Table1[[#This Row],[prefarea]]= "yes", 1, 0)</f>
        <v>0</v>
      </c>
      <c r="AC487" s="1">
        <v>2870000</v>
      </c>
    </row>
    <row r="488" spans="1:29">
      <c r="A488">
        <v>6000</v>
      </c>
      <c r="B488" t="s">
        <v>16</v>
      </c>
      <c r="C488">
        <v>2</v>
      </c>
      <c r="D488">
        <v>1</v>
      </c>
      <c r="E488">
        <v>1</v>
      </c>
      <c r="F488" t="s">
        <v>13</v>
      </c>
      <c r="G488" t="s">
        <v>14</v>
      </c>
      <c r="H488" t="s">
        <v>14</v>
      </c>
      <c r="I488" t="s">
        <v>14</v>
      </c>
      <c r="J488" t="s">
        <v>14</v>
      </c>
      <c r="K488">
        <v>0</v>
      </c>
      <c r="L488" t="s">
        <v>14</v>
      </c>
      <c r="M488" s="1">
        <v>2870000</v>
      </c>
      <c r="P488">
        <v>6000</v>
      </c>
      <c r="Q488">
        <f>IF(Table1[[#This Row],[furnishingstatus]]="furnished", 1, 0)</f>
        <v>0</v>
      </c>
      <c r="R488">
        <f>IF(Table1[[#This Row],[furnishingstatus]]="semi-furnished", 1, 0)</f>
        <v>1</v>
      </c>
      <c r="S488">
        <v>2</v>
      </c>
      <c r="T488">
        <v>1</v>
      </c>
      <c r="U488">
        <v>1</v>
      </c>
      <c r="V488">
        <f>IF(Table1[[#This Row],[mainroad]] = "yes", 1, 0)</f>
        <v>1</v>
      </c>
      <c r="W488">
        <f>IF(Table1[[#This Row],[guestroom]]= "yes", 1, 0)</f>
        <v>0</v>
      </c>
      <c r="X488">
        <f>IF(Table1[[#This Row],[basement]]="yes", 1, 0)</f>
        <v>0</v>
      </c>
      <c r="Y488">
        <f>IF(Table1[[#This Row],[hotwaterheating]]="yes", 1, 0)</f>
        <v>0</v>
      </c>
      <c r="Z488">
        <f>IF(Table1[[#This Row],[airconditioning]]="yes", 1, 0)</f>
        <v>0</v>
      </c>
      <c r="AA488">
        <v>0</v>
      </c>
      <c r="AB488">
        <f>IF(Table1[[#This Row],[prefarea]]= "yes", 1, 0)</f>
        <v>0</v>
      </c>
      <c r="AC488" s="1">
        <v>2870000</v>
      </c>
    </row>
    <row r="489" spans="1:29">
      <c r="A489">
        <v>5400</v>
      </c>
      <c r="B489" t="s">
        <v>17</v>
      </c>
      <c r="C489">
        <v>4</v>
      </c>
      <c r="D489">
        <v>1</v>
      </c>
      <c r="E489">
        <v>2</v>
      </c>
      <c r="F489" t="s">
        <v>13</v>
      </c>
      <c r="G489" t="s">
        <v>14</v>
      </c>
      <c r="H489" t="s">
        <v>14</v>
      </c>
      <c r="I489" t="s">
        <v>14</v>
      </c>
      <c r="J489" t="s">
        <v>14</v>
      </c>
      <c r="K489">
        <v>0</v>
      </c>
      <c r="L489" t="s">
        <v>14</v>
      </c>
      <c r="M489" s="1">
        <v>2870000</v>
      </c>
      <c r="P489">
        <v>5400</v>
      </c>
      <c r="Q489">
        <f>IF(Table1[[#This Row],[furnishingstatus]]="furnished", 1, 0)</f>
        <v>0</v>
      </c>
      <c r="R489">
        <f>IF(Table1[[#This Row],[furnishingstatus]]="semi-furnished", 1, 0)</f>
        <v>0</v>
      </c>
      <c r="S489">
        <v>4</v>
      </c>
      <c r="T489">
        <v>1</v>
      </c>
      <c r="U489">
        <v>2</v>
      </c>
      <c r="V489">
        <f>IF(Table1[[#This Row],[mainroad]] = "yes", 1, 0)</f>
        <v>1</v>
      </c>
      <c r="W489">
        <f>IF(Table1[[#This Row],[guestroom]]= "yes", 1, 0)</f>
        <v>0</v>
      </c>
      <c r="X489">
        <f>IF(Table1[[#This Row],[basement]]="yes", 1, 0)</f>
        <v>0</v>
      </c>
      <c r="Y489">
        <f>IF(Table1[[#This Row],[hotwaterheating]]="yes", 1, 0)</f>
        <v>0</v>
      </c>
      <c r="Z489">
        <f>IF(Table1[[#This Row],[airconditioning]]="yes", 1, 0)</f>
        <v>0</v>
      </c>
      <c r="AA489">
        <v>0</v>
      </c>
      <c r="AB489">
        <f>IF(Table1[[#This Row],[prefarea]]= "yes", 1, 0)</f>
        <v>0</v>
      </c>
      <c r="AC489" s="1">
        <v>2870000</v>
      </c>
    </row>
    <row r="490" spans="1:29">
      <c r="A490">
        <v>5200</v>
      </c>
      <c r="B490" t="s">
        <v>17</v>
      </c>
      <c r="C490">
        <v>4</v>
      </c>
      <c r="D490">
        <v>1</v>
      </c>
      <c r="E490">
        <v>3</v>
      </c>
      <c r="F490" t="s">
        <v>13</v>
      </c>
      <c r="G490" t="s">
        <v>14</v>
      </c>
      <c r="H490" t="s">
        <v>14</v>
      </c>
      <c r="I490" t="s">
        <v>14</v>
      </c>
      <c r="J490" t="s">
        <v>14</v>
      </c>
      <c r="K490">
        <v>0</v>
      </c>
      <c r="L490" t="s">
        <v>14</v>
      </c>
      <c r="M490" s="1">
        <v>2852500</v>
      </c>
      <c r="P490">
        <v>5200</v>
      </c>
      <c r="Q490">
        <f>IF(Table1[[#This Row],[furnishingstatus]]="furnished", 1, 0)</f>
        <v>0</v>
      </c>
      <c r="R490">
        <f>IF(Table1[[#This Row],[furnishingstatus]]="semi-furnished", 1, 0)</f>
        <v>0</v>
      </c>
      <c r="S490">
        <v>4</v>
      </c>
      <c r="T490">
        <v>1</v>
      </c>
      <c r="U490">
        <v>3</v>
      </c>
      <c r="V490">
        <f>IF(Table1[[#This Row],[mainroad]] = "yes", 1, 0)</f>
        <v>1</v>
      </c>
      <c r="W490">
        <f>IF(Table1[[#This Row],[guestroom]]= "yes", 1, 0)</f>
        <v>0</v>
      </c>
      <c r="X490">
        <f>IF(Table1[[#This Row],[basement]]="yes", 1, 0)</f>
        <v>0</v>
      </c>
      <c r="Y490">
        <f>IF(Table1[[#This Row],[hotwaterheating]]="yes", 1, 0)</f>
        <v>0</v>
      </c>
      <c r="Z490">
        <f>IF(Table1[[#This Row],[airconditioning]]="yes", 1, 0)</f>
        <v>0</v>
      </c>
      <c r="AA490">
        <v>0</v>
      </c>
      <c r="AB490">
        <f>IF(Table1[[#This Row],[prefarea]]= "yes", 1, 0)</f>
        <v>0</v>
      </c>
      <c r="AC490" s="1">
        <v>2852500</v>
      </c>
    </row>
    <row r="491" spans="1:29">
      <c r="A491">
        <v>3300</v>
      </c>
      <c r="B491" t="s">
        <v>16</v>
      </c>
      <c r="C491">
        <v>3</v>
      </c>
      <c r="D491">
        <v>1</v>
      </c>
      <c r="E491">
        <v>2</v>
      </c>
      <c r="F491" t="s">
        <v>14</v>
      </c>
      <c r="G491" t="s">
        <v>14</v>
      </c>
      <c r="H491" t="s">
        <v>14</v>
      </c>
      <c r="I491" t="s">
        <v>14</v>
      </c>
      <c r="J491" t="s">
        <v>14</v>
      </c>
      <c r="K491">
        <v>1</v>
      </c>
      <c r="L491" t="s">
        <v>14</v>
      </c>
      <c r="M491" s="1">
        <v>2835000</v>
      </c>
      <c r="P491">
        <v>3300</v>
      </c>
      <c r="Q491">
        <f>IF(Table1[[#This Row],[furnishingstatus]]="furnished", 1, 0)</f>
        <v>0</v>
      </c>
      <c r="R491">
        <f>IF(Table1[[#This Row],[furnishingstatus]]="semi-furnished", 1, 0)</f>
        <v>1</v>
      </c>
      <c r="S491">
        <v>3</v>
      </c>
      <c r="T491">
        <v>1</v>
      </c>
      <c r="U491">
        <v>2</v>
      </c>
      <c r="V491">
        <f>IF(Table1[[#This Row],[mainroad]] = "yes", 1, 0)</f>
        <v>0</v>
      </c>
      <c r="W491">
        <f>IF(Table1[[#This Row],[guestroom]]= "yes", 1, 0)</f>
        <v>0</v>
      </c>
      <c r="X491">
        <f>IF(Table1[[#This Row],[basement]]="yes", 1, 0)</f>
        <v>0</v>
      </c>
      <c r="Y491">
        <f>IF(Table1[[#This Row],[hotwaterheating]]="yes", 1, 0)</f>
        <v>0</v>
      </c>
      <c r="Z491">
        <f>IF(Table1[[#This Row],[airconditioning]]="yes", 1, 0)</f>
        <v>0</v>
      </c>
      <c r="AA491">
        <v>1</v>
      </c>
      <c r="AB491">
        <f>IF(Table1[[#This Row],[prefarea]]= "yes", 1, 0)</f>
        <v>0</v>
      </c>
      <c r="AC491" s="1">
        <v>2835000</v>
      </c>
    </row>
    <row r="492" spans="1:29">
      <c r="A492">
        <v>4350</v>
      </c>
      <c r="B492" t="s">
        <v>17</v>
      </c>
      <c r="C492">
        <v>3</v>
      </c>
      <c r="D492">
        <v>1</v>
      </c>
      <c r="E492">
        <v>2</v>
      </c>
      <c r="F492" t="s">
        <v>14</v>
      </c>
      <c r="G492" t="s">
        <v>14</v>
      </c>
      <c r="H492" t="s">
        <v>14</v>
      </c>
      <c r="I492" t="s">
        <v>13</v>
      </c>
      <c r="J492" t="s">
        <v>14</v>
      </c>
      <c r="K492">
        <v>1</v>
      </c>
      <c r="L492" t="s">
        <v>14</v>
      </c>
      <c r="M492" s="1">
        <v>2835000</v>
      </c>
      <c r="P492">
        <v>4350</v>
      </c>
      <c r="Q492">
        <f>IF(Table1[[#This Row],[furnishingstatus]]="furnished", 1, 0)</f>
        <v>0</v>
      </c>
      <c r="R492">
        <f>IF(Table1[[#This Row],[furnishingstatus]]="semi-furnished", 1, 0)</f>
        <v>0</v>
      </c>
      <c r="S492">
        <v>3</v>
      </c>
      <c r="T492">
        <v>1</v>
      </c>
      <c r="U492">
        <v>2</v>
      </c>
      <c r="V492">
        <f>IF(Table1[[#This Row],[mainroad]] = "yes", 1, 0)</f>
        <v>0</v>
      </c>
      <c r="W492">
        <f>IF(Table1[[#This Row],[guestroom]]= "yes", 1, 0)</f>
        <v>0</v>
      </c>
      <c r="X492">
        <f>IF(Table1[[#This Row],[basement]]="yes", 1, 0)</f>
        <v>0</v>
      </c>
      <c r="Y492">
        <f>IF(Table1[[#This Row],[hotwaterheating]]="yes", 1, 0)</f>
        <v>1</v>
      </c>
      <c r="Z492">
        <f>IF(Table1[[#This Row],[airconditioning]]="yes", 1, 0)</f>
        <v>0</v>
      </c>
      <c r="AA492">
        <v>1</v>
      </c>
      <c r="AB492">
        <f>IF(Table1[[#This Row],[prefarea]]= "yes", 1, 0)</f>
        <v>0</v>
      </c>
      <c r="AC492" s="1">
        <v>2835000</v>
      </c>
    </row>
    <row r="493" spans="1:29">
      <c r="A493">
        <v>2640</v>
      </c>
      <c r="B493" t="s">
        <v>15</v>
      </c>
      <c r="C493">
        <v>2</v>
      </c>
      <c r="D493">
        <v>1</v>
      </c>
      <c r="E493">
        <v>1</v>
      </c>
      <c r="F493" t="s">
        <v>14</v>
      </c>
      <c r="G493" t="s">
        <v>14</v>
      </c>
      <c r="H493" t="s">
        <v>14</v>
      </c>
      <c r="I493" t="s">
        <v>14</v>
      </c>
      <c r="J493" t="s">
        <v>14</v>
      </c>
      <c r="K493">
        <v>1</v>
      </c>
      <c r="L493" t="s">
        <v>14</v>
      </c>
      <c r="M493" s="1">
        <v>2835000</v>
      </c>
      <c r="P493">
        <v>2640</v>
      </c>
      <c r="Q493">
        <f>IF(Table1[[#This Row],[furnishingstatus]]="furnished", 1, 0)</f>
        <v>1</v>
      </c>
      <c r="R493">
        <f>IF(Table1[[#This Row],[furnishingstatus]]="semi-furnished", 1, 0)</f>
        <v>0</v>
      </c>
      <c r="S493">
        <v>2</v>
      </c>
      <c r="T493">
        <v>1</v>
      </c>
      <c r="U493">
        <v>1</v>
      </c>
      <c r="V493">
        <f>IF(Table1[[#This Row],[mainroad]] = "yes", 1, 0)</f>
        <v>0</v>
      </c>
      <c r="W493">
        <f>IF(Table1[[#This Row],[guestroom]]= "yes", 1, 0)</f>
        <v>0</v>
      </c>
      <c r="X493">
        <f>IF(Table1[[#This Row],[basement]]="yes", 1, 0)</f>
        <v>0</v>
      </c>
      <c r="Y493">
        <f>IF(Table1[[#This Row],[hotwaterheating]]="yes", 1, 0)</f>
        <v>0</v>
      </c>
      <c r="Z493">
        <f>IF(Table1[[#This Row],[airconditioning]]="yes", 1, 0)</f>
        <v>0</v>
      </c>
      <c r="AA493">
        <v>1</v>
      </c>
      <c r="AB493">
        <f>IF(Table1[[#This Row],[prefarea]]= "yes", 1, 0)</f>
        <v>0</v>
      </c>
      <c r="AC493" s="1">
        <v>2835000</v>
      </c>
    </row>
    <row r="494" spans="1:29">
      <c r="A494">
        <v>2650</v>
      </c>
      <c r="B494" t="s">
        <v>17</v>
      </c>
      <c r="C494">
        <v>3</v>
      </c>
      <c r="D494">
        <v>1</v>
      </c>
      <c r="E494">
        <v>2</v>
      </c>
      <c r="F494" t="s">
        <v>13</v>
      </c>
      <c r="G494" t="s">
        <v>14</v>
      </c>
      <c r="H494" t="s">
        <v>13</v>
      </c>
      <c r="I494" t="s">
        <v>14</v>
      </c>
      <c r="J494" t="s">
        <v>14</v>
      </c>
      <c r="K494">
        <v>1</v>
      </c>
      <c r="L494" t="s">
        <v>14</v>
      </c>
      <c r="M494" s="1">
        <v>2800000</v>
      </c>
      <c r="P494">
        <v>2650</v>
      </c>
      <c r="Q494">
        <f>IF(Table1[[#This Row],[furnishingstatus]]="furnished", 1, 0)</f>
        <v>0</v>
      </c>
      <c r="R494">
        <f>IF(Table1[[#This Row],[furnishingstatus]]="semi-furnished", 1, 0)</f>
        <v>0</v>
      </c>
      <c r="S494">
        <v>3</v>
      </c>
      <c r="T494">
        <v>1</v>
      </c>
      <c r="U494">
        <v>2</v>
      </c>
      <c r="V494">
        <f>IF(Table1[[#This Row],[mainroad]] = "yes", 1, 0)</f>
        <v>1</v>
      </c>
      <c r="W494">
        <f>IF(Table1[[#This Row],[guestroom]]= "yes", 1, 0)</f>
        <v>0</v>
      </c>
      <c r="X494">
        <f>IF(Table1[[#This Row],[basement]]="yes", 1, 0)</f>
        <v>1</v>
      </c>
      <c r="Y494">
        <f>IF(Table1[[#This Row],[hotwaterheating]]="yes", 1, 0)</f>
        <v>0</v>
      </c>
      <c r="Z494">
        <f>IF(Table1[[#This Row],[airconditioning]]="yes", 1, 0)</f>
        <v>0</v>
      </c>
      <c r="AA494">
        <v>1</v>
      </c>
      <c r="AB494">
        <f>IF(Table1[[#This Row],[prefarea]]= "yes", 1, 0)</f>
        <v>0</v>
      </c>
      <c r="AC494" s="1">
        <v>2800000</v>
      </c>
    </row>
    <row r="495" spans="1:29">
      <c r="A495">
        <v>3960</v>
      </c>
      <c r="B495" t="s">
        <v>15</v>
      </c>
      <c r="C495">
        <v>3</v>
      </c>
      <c r="D495">
        <v>1</v>
      </c>
      <c r="E495">
        <v>1</v>
      </c>
      <c r="F495" t="s">
        <v>13</v>
      </c>
      <c r="G495" t="s">
        <v>14</v>
      </c>
      <c r="H495" t="s">
        <v>14</v>
      </c>
      <c r="I495" t="s">
        <v>14</v>
      </c>
      <c r="J495" t="s">
        <v>14</v>
      </c>
      <c r="K495">
        <v>0</v>
      </c>
      <c r="L495" t="s">
        <v>14</v>
      </c>
      <c r="M495" s="1">
        <v>2800000</v>
      </c>
      <c r="P495">
        <v>3960</v>
      </c>
      <c r="Q495">
        <f>IF(Table1[[#This Row],[furnishingstatus]]="furnished", 1, 0)</f>
        <v>1</v>
      </c>
      <c r="R495">
        <f>IF(Table1[[#This Row],[furnishingstatus]]="semi-furnished", 1, 0)</f>
        <v>0</v>
      </c>
      <c r="S495">
        <v>3</v>
      </c>
      <c r="T495">
        <v>1</v>
      </c>
      <c r="U495">
        <v>1</v>
      </c>
      <c r="V495">
        <f>IF(Table1[[#This Row],[mainroad]] = "yes", 1, 0)</f>
        <v>1</v>
      </c>
      <c r="W495">
        <f>IF(Table1[[#This Row],[guestroom]]= "yes", 1, 0)</f>
        <v>0</v>
      </c>
      <c r="X495">
        <f>IF(Table1[[#This Row],[basement]]="yes", 1, 0)</f>
        <v>0</v>
      </c>
      <c r="Y495">
        <f>IF(Table1[[#This Row],[hotwaterheating]]="yes", 1, 0)</f>
        <v>0</v>
      </c>
      <c r="Z495">
        <f>IF(Table1[[#This Row],[airconditioning]]="yes", 1, 0)</f>
        <v>0</v>
      </c>
      <c r="AA495">
        <v>0</v>
      </c>
      <c r="AB495">
        <f>IF(Table1[[#This Row],[prefarea]]= "yes", 1, 0)</f>
        <v>0</v>
      </c>
      <c r="AC495" s="1">
        <v>2800000</v>
      </c>
    </row>
    <row r="496" spans="1:29">
      <c r="A496">
        <v>6800</v>
      </c>
      <c r="B496" t="s">
        <v>17</v>
      </c>
      <c r="C496">
        <v>2</v>
      </c>
      <c r="D496">
        <v>1</v>
      </c>
      <c r="E496">
        <v>1</v>
      </c>
      <c r="F496" t="s">
        <v>13</v>
      </c>
      <c r="G496" t="s">
        <v>14</v>
      </c>
      <c r="H496" t="s">
        <v>14</v>
      </c>
      <c r="I496" t="s">
        <v>14</v>
      </c>
      <c r="J496" t="s">
        <v>14</v>
      </c>
      <c r="K496">
        <v>0</v>
      </c>
      <c r="L496" t="s">
        <v>14</v>
      </c>
      <c r="M496" s="1">
        <v>2730000</v>
      </c>
      <c r="P496">
        <v>6800</v>
      </c>
      <c r="Q496">
        <f>IF(Table1[[#This Row],[furnishingstatus]]="furnished", 1, 0)</f>
        <v>0</v>
      </c>
      <c r="R496">
        <f>IF(Table1[[#This Row],[furnishingstatus]]="semi-furnished", 1, 0)</f>
        <v>0</v>
      </c>
      <c r="S496">
        <v>2</v>
      </c>
      <c r="T496">
        <v>1</v>
      </c>
      <c r="U496">
        <v>1</v>
      </c>
      <c r="V496">
        <f>IF(Table1[[#This Row],[mainroad]] = "yes", 1, 0)</f>
        <v>1</v>
      </c>
      <c r="W496">
        <f>IF(Table1[[#This Row],[guestroom]]= "yes", 1, 0)</f>
        <v>0</v>
      </c>
      <c r="X496">
        <f>IF(Table1[[#This Row],[basement]]="yes", 1, 0)</f>
        <v>0</v>
      </c>
      <c r="Y496">
        <f>IF(Table1[[#This Row],[hotwaterheating]]="yes", 1, 0)</f>
        <v>0</v>
      </c>
      <c r="Z496">
        <f>IF(Table1[[#This Row],[airconditioning]]="yes", 1, 0)</f>
        <v>0</v>
      </c>
      <c r="AA496">
        <v>0</v>
      </c>
      <c r="AB496">
        <f>IF(Table1[[#This Row],[prefarea]]= "yes", 1, 0)</f>
        <v>0</v>
      </c>
      <c r="AC496" s="1">
        <v>2730000</v>
      </c>
    </row>
    <row r="497" spans="1:29">
      <c r="A497">
        <v>4000</v>
      </c>
      <c r="B497" t="s">
        <v>17</v>
      </c>
      <c r="C497">
        <v>3</v>
      </c>
      <c r="D497">
        <v>1</v>
      </c>
      <c r="E497">
        <v>2</v>
      </c>
      <c r="F497" t="s">
        <v>13</v>
      </c>
      <c r="G497" t="s">
        <v>14</v>
      </c>
      <c r="H497" t="s">
        <v>14</v>
      </c>
      <c r="I497" t="s">
        <v>14</v>
      </c>
      <c r="J497" t="s">
        <v>14</v>
      </c>
      <c r="K497">
        <v>1</v>
      </c>
      <c r="L497" t="s">
        <v>14</v>
      </c>
      <c r="M497" s="1">
        <v>2730000</v>
      </c>
      <c r="P497">
        <v>4000</v>
      </c>
      <c r="Q497">
        <f>IF(Table1[[#This Row],[furnishingstatus]]="furnished", 1, 0)</f>
        <v>0</v>
      </c>
      <c r="R497">
        <f>IF(Table1[[#This Row],[furnishingstatus]]="semi-furnished", 1, 0)</f>
        <v>0</v>
      </c>
      <c r="S497">
        <v>3</v>
      </c>
      <c r="T497">
        <v>1</v>
      </c>
      <c r="U497">
        <v>2</v>
      </c>
      <c r="V497">
        <f>IF(Table1[[#This Row],[mainroad]] = "yes", 1, 0)</f>
        <v>1</v>
      </c>
      <c r="W497">
        <f>IF(Table1[[#This Row],[guestroom]]= "yes", 1, 0)</f>
        <v>0</v>
      </c>
      <c r="X497">
        <f>IF(Table1[[#This Row],[basement]]="yes", 1, 0)</f>
        <v>0</v>
      </c>
      <c r="Y497">
        <f>IF(Table1[[#This Row],[hotwaterheating]]="yes", 1, 0)</f>
        <v>0</v>
      </c>
      <c r="Z497">
        <f>IF(Table1[[#This Row],[airconditioning]]="yes", 1, 0)</f>
        <v>0</v>
      </c>
      <c r="AA497">
        <v>1</v>
      </c>
      <c r="AB497">
        <f>IF(Table1[[#This Row],[prefarea]]= "yes", 1, 0)</f>
        <v>0</v>
      </c>
      <c r="AC497" s="1">
        <v>2730000</v>
      </c>
    </row>
    <row r="498" spans="1:29">
      <c r="A498">
        <v>4000</v>
      </c>
      <c r="B498" t="s">
        <v>17</v>
      </c>
      <c r="C498">
        <v>2</v>
      </c>
      <c r="D498">
        <v>1</v>
      </c>
      <c r="E498">
        <v>1</v>
      </c>
      <c r="F498" t="s">
        <v>13</v>
      </c>
      <c r="G498" t="s">
        <v>14</v>
      </c>
      <c r="H498" t="s">
        <v>14</v>
      </c>
      <c r="I498" t="s">
        <v>14</v>
      </c>
      <c r="J498" t="s">
        <v>14</v>
      </c>
      <c r="K498">
        <v>0</v>
      </c>
      <c r="L498" t="s">
        <v>14</v>
      </c>
      <c r="M498" s="1">
        <v>2695000</v>
      </c>
      <c r="P498">
        <v>4000</v>
      </c>
      <c r="Q498">
        <f>IF(Table1[[#This Row],[furnishingstatus]]="furnished", 1, 0)</f>
        <v>0</v>
      </c>
      <c r="R498">
        <f>IF(Table1[[#This Row],[furnishingstatus]]="semi-furnished", 1, 0)</f>
        <v>0</v>
      </c>
      <c r="S498">
        <v>2</v>
      </c>
      <c r="T498">
        <v>1</v>
      </c>
      <c r="U498">
        <v>1</v>
      </c>
      <c r="V498">
        <f>IF(Table1[[#This Row],[mainroad]] = "yes", 1, 0)</f>
        <v>1</v>
      </c>
      <c r="W498">
        <f>IF(Table1[[#This Row],[guestroom]]= "yes", 1, 0)</f>
        <v>0</v>
      </c>
      <c r="X498">
        <f>IF(Table1[[#This Row],[basement]]="yes", 1, 0)</f>
        <v>0</v>
      </c>
      <c r="Y498">
        <f>IF(Table1[[#This Row],[hotwaterheating]]="yes", 1, 0)</f>
        <v>0</v>
      </c>
      <c r="Z498">
        <f>IF(Table1[[#This Row],[airconditioning]]="yes", 1, 0)</f>
        <v>0</v>
      </c>
      <c r="AA498">
        <v>0</v>
      </c>
      <c r="AB498">
        <f>IF(Table1[[#This Row],[prefarea]]= "yes", 1, 0)</f>
        <v>0</v>
      </c>
      <c r="AC498" s="1">
        <v>2695000</v>
      </c>
    </row>
    <row r="499" spans="1:29">
      <c r="A499">
        <v>3934</v>
      </c>
      <c r="B499" t="s">
        <v>17</v>
      </c>
      <c r="C499">
        <v>2</v>
      </c>
      <c r="D499">
        <v>1</v>
      </c>
      <c r="E499">
        <v>1</v>
      </c>
      <c r="F499" t="s">
        <v>13</v>
      </c>
      <c r="G499" t="s">
        <v>14</v>
      </c>
      <c r="H499" t="s">
        <v>14</v>
      </c>
      <c r="I499" t="s">
        <v>14</v>
      </c>
      <c r="J499" t="s">
        <v>14</v>
      </c>
      <c r="K499">
        <v>0</v>
      </c>
      <c r="L499" t="s">
        <v>14</v>
      </c>
      <c r="M499" s="1">
        <v>2660000</v>
      </c>
      <c r="P499">
        <v>3934</v>
      </c>
      <c r="Q499">
        <f>IF(Table1[[#This Row],[furnishingstatus]]="furnished", 1, 0)</f>
        <v>0</v>
      </c>
      <c r="R499">
        <f>IF(Table1[[#This Row],[furnishingstatus]]="semi-furnished", 1, 0)</f>
        <v>0</v>
      </c>
      <c r="S499">
        <v>2</v>
      </c>
      <c r="T499">
        <v>1</v>
      </c>
      <c r="U499">
        <v>1</v>
      </c>
      <c r="V499">
        <f>IF(Table1[[#This Row],[mainroad]] = "yes", 1, 0)</f>
        <v>1</v>
      </c>
      <c r="W499">
        <f>IF(Table1[[#This Row],[guestroom]]= "yes", 1, 0)</f>
        <v>0</v>
      </c>
      <c r="X499">
        <f>IF(Table1[[#This Row],[basement]]="yes", 1, 0)</f>
        <v>0</v>
      </c>
      <c r="Y499">
        <f>IF(Table1[[#This Row],[hotwaterheating]]="yes", 1, 0)</f>
        <v>0</v>
      </c>
      <c r="Z499">
        <f>IF(Table1[[#This Row],[airconditioning]]="yes", 1, 0)</f>
        <v>0</v>
      </c>
      <c r="AA499">
        <v>0</v>
      </c>
      <c r="AB499">
        <f>IF(Table1[[#This Row],[prefarea]]= "yes", 1, 0)</f>
        <v>0</v>
      </c>
      <c r="AC499" s="1">
        <v>2660000</v>
      </c>
    </row>
    <row r="500" spans="1:29">
      <c r="A500">
        <v>2000</v>
      </c>
      <c r="B500" t="s">
        <v>16</v>
      </c>
      <c r="C500">
        <v>2</v>
      </c>
      <c r="D500">
        <v>1</v>
      </c>
      <c r="E500">
        <v>2</v>
      </c>
      <c r="F500" t="s">
        <v>13</v>
      </c>
      <c r="G500" t="s">
        <v>14</v>
      </c>
      <c r="H500" t="s">
        <v>14</v>
      </c>
      <c r="I500" t="s">
        <v>14</v>
      </c>
      <c r="J500" t="s">
        <v>14</v>
      </c>
      <c r="K500">
        <v>0</v>
      </c>
      <c r="L500" t="s">
        <v>14</v>
      </c>
      <c r="M500" s="1">
        <v>2660000</v>
      </c>
      <c r="P500">
        <v>2000</v>
      </c>
      <c r="Q500">
        <f>IF(Table1[[#This Row],[furnishingstatus]]="furnished", 1, 0)</f>
        <v>0</v>
      </c>
      <c r="R500">
        <f>IF(Table1[[#This Row],[furnishingstatus]]="semi-furnished", 1, 0)</f>
        <v>1</v>
      </c>
      <c r="S500">
        <v>2</v>
      </c>
      <c r="T500">
        <v>1</v>
      </c>
      <c r="U500">
        <v>2</v>
      </c>
      <c r="V500">
        <f>IF(Table1[[#This Row],[mainroad]] = "yes", 1, 0)</f>
        <v>1</v>
      </c>
      <c r="W500">
        <f>IF(Table1[[#This Row],[guestroom]]= "yes", 1, 0)</f>
        <v>0</v>
      </c>
      <c r="X500">
        <f>IF(Table1[[#This Row],[basement]]="yes", 1, 0)</f>
        <v>0</v>
      </c>
      <c r="Y500">
        <f>IF(Table1[[#This Row],[hotwaterheating]]="yes", 1, 0)</f>
        <v>0</v>
      </c>
      <c r="Z500">
        <f>IF(Table1[[#This Row],[airconditioning]]="yes", 1, 0)</f>
        <v>0</v>
      </c>
      <c r="AA500">
        <v>0</v>
      </c>
      <c r="AB500">
        <f>IF(Table1[[#This Row],[prefarea]]= "yes", 1, 0)</f>
        <v>0</v>
      </c>
      <c r="AC500" s="1">
        <v>2660000</v>
      </c>
    </row>
    <row r="501" spans="1:29">
      <c r="A501">
        <v>3630</v>
      </c>
      <c r="B501" t="s">
        <v>17</v>
      </c>
      <c r="C501">
        <v>3</v>
      </c>
      <c r="D501">
        <v>3</v>
      </c>
      <c r="E501">
        <v>2</v>
      </c>
      <c r="F501" t="s">
        <v>14</v>
      </c>
      <c r="G501" t="s">
        <v>13</v>
      </c>
      <c r="H501" t="s">
        <v>14</v>
      </c>
      <c r="I501" t="s">
        <v>14</v>
      </c>
      <c r="J501" t="s">
        <v>14</v>
      </c>
      <c r="K501">
        <v>0</v>
      </c>
      <c r="L501" t="s">
        <v>14</v>
      </c>
      <c r="M501" s="1">
        <v>2660000</v>
      </c>
      <c r="P501">
        <v>3630</v>
      </c>
      <c r="Q501">
        <f>IF(Table1[[#This Row],[furnishingstatus]]="furnished", 1, 0)</f>
        <v>0</v>
      </c>
      <c r="R501">
        <f>IF(Table1[[#This Row],[furnishingstatus]]="semi-furnished", 1, 0)</f>
        <v>0</v>
      </c>
      <c r="S501">
        <v>3</v>
      </c>
      <c r="T501">
        <v>3</v>
      </c>
      <c r="U501">
        <v>2</v>
      </c>
      <c r="V501">
        <f>IF(Table1[[#This Row],[mainroad]] = "yes", 1, 0)</f>
        <v>0</v>
      </c>
      <c r="W501">
        <f>IF(Table1[[#This Row],[guestroom]]= "yes", 1, 0)</f>
        <v>1</v>
      </c>
      <c r="X501">
        <f>IF(Table1[[#This Row],[basement]]="yes", 1, 0)</f>
        <v>0</v>
      </c>
      <c r="Y501">
        <f>IF(Table1[[#This Row],[hotwaterheating]]="yes", 1, 0)</f>
        <v>0</v>
      </c>
      <c r="Z501">
        <f>IF(Table1[[#This Row],[airconditioning]]="yes", 1, 0)</f>
        <v>0</v>
      </c>
      <c r="AA501">
        <v>0</v>
      </c>
      <c r="AB501">
        <f>IF(Table1[[#This Row],[prefarea]]= "yes", 1, 0)</f>
        <v>0</v>
      </c>
      <c r="AC501" s="1">
        <v>2660000</v>
      </c>
    </row>
    <row r="502" spans="1:29">
      <c r="A502">
        <v>2800</v>
      </c>
      <c r="B502" t="s">
        <v>17</v>
      </c>
      <c r="C502">
        <v>3</v>
      </c>
      <c r="D502">
        <v>1</v>
      </c>
      <c r="E502">
        <v>1</v>
      </c>
      <c r="F502" t="s">
        <v>13</v>
      </c>
      <c r="G502" t="s">
        <v>14</v>
      </c>
      <c r="H502" t="s">
        <v>14</v>
      </c>
      <c r="I502" t="s">
        <v>14</v>
      </c>
      <c r="J502" t="s">
        <v>14</v>
      </c>
      <c r="K502">
        <v>0</v>
      </c>
      <c r="L502" t="s">
        <v>14</v>
      </c>
      <c r="M502" s="1">
        <v>2660000</v>
      </c>
      <c r="P502">
        <v>2800</v>
      </c>
      <c r="Q502">
        <f>IF(Table1[[#This Row],[furnishingstatus]]="furnished", 1, 0)</f>
        <v>0</v>
      </c>
      <c r="R502">
        <f>IF(Table1[[#This Row],[furnishingstatus]]="semi-furnished", 1, 0)</f>
        <v>0</v>
      </c>
      <c r="S502">
        <v>3</v>
      </c>
      <c r="T502">
        <v>1</v>
      </c>
      <c r="U502">
        <v>1</v>
      </c>
      <c r="V502">
        <f>IF(Table1[[#This Row],[mainroad]] = "yes", 1, 0)</f>
        <v>1</v>
      </c>
      <c r="W502">
        <f>IF(Table1[[#This Row],[guestroom]]= "yes", 1, 0)</f>
        <v>0</v>
      </c>
      <c r="X502">
        <f>IF(Table1[[#This Row],[basement]]="yes", 1, 0)</f>
        <v>0</v>
      </c>
      <c r="Y502">
        <f>IF(Table1[[#This Row],[hotwaterheating]]="yes", 1, 0)</f>
        <v>0</v>
      </c>
      <c r="Z502">
        <f>IF(Table1[[#This Row],[airconditioning]]="yes", 1, 0)</f>
        <v>0</v>
      </c>
      <c r="AA502">
        <v>0</v>
      </c>
      <c r="AB502">
        <f>IF(Table1[[#This Row],[prefarea]]= "yes", 1, 0)</f>
        <v>0</v>
      </c>
      <c r="AC502" s="1">
        <v>2660000</v>
      </c>
    </row>
    <row r="503" spans="1:29">
      <c r="A503">
        <v>2430</v>
      </c>
      <c r="B503" t="s">
        <v>17</v>
      </c>
      <c r="C503">
        <v>3</v>
      </c>
      <c r="D503">
        <v>1</v>
      </c>
      <c r="E503">
        <v>1</v>
      </c>
      <c r="F503" t="s">
        <v>14</v>
      </c>
      <c r="G503" t="s">
        <v>14</v>
      </c>
      <c r="H503" t="s">
        <v>14</v>
      </c>
      <c r="I503" t="s">
        <v>14</v>
      </c>
      <c r="J503" t="s">
        <v>14</v>
      </c>
      <c r="K503">
        <v>0</v>
      </c>
      <c r="L503" t="s">
        <v>14</v>
      </c>
      <c r="M503" s="1">
        <v>2660000</v>
      </c>
      <c r="P503">
        <v>2430</v>
      </c>
      <c r="Q503">
        <f>IF(Table1[[#This Row],[furnishingstatus]]="furnished", 1, 0)</f>
        <v>0</v>
      </c>
      <c r="R503">
        <f>IF(Table1[[#This Row],[furnishingstatus]]="semi-furnished", 1, 0)</f>
        <v>0</v>
      </c>
      <c r="S503">
        <v>3</v>
      </c>
      <c r="T503">
        <v>1</v>
      </c>
      <c r="U503">
        <v>1</v>
      </c>
      <c r="V503">
        <f>IF(Table1[[#This Row],[mainroad]] = "yes", 1, 0)</f>
        <v>0</v>
      </c>
      <c r="W503">
        <f>IF(Table1[[#This Row],[guestroom]]= "yes", 1, 0)</f>
        <v>0</v>
      </c>
      <c r="X503">
        <f>IF(Table1[[#This Row],[basement]]="yes", 1, 0)</f>
        <v>0</v>
      </c>
      <c r="Y503">
        <f>IF(Table1[[#This Row],[hotwaterheating]]="yes", 1, 0)</f>
        <v>0</v>
      </c>
      <c r="Z503">
        <f>IF(Table1[[#This Row],[airconditioning]]="yes", 1, 0)</f>
        <v>0</v>
      </c>
      <c r="AA503">
        <v>0</v>
      </c>
      <c r="AB503">
        <f>IF(Table1[[#This Row],[prefarea]]= "yes", 1, 0)</f>
        <v>0</v>
      </c>
      <c r="AC503" s="1">
        <v>2660000</v>
      </c>
    </row>
    <row r="504" spans="1:29">
      <c r="A504">
        <v>3480</v>
      </c>
      <c r="B504" t="s">
        <v>16</v>
      </c>
      <c r="C504">
        <v>2</v>
      </c>
      <c r="D504">
        <v>1</v>
      </c>
      <c r="E504">
        <v>1</v>
      </c>
      <c r="F504" t="s">
        <v>13</v>
      </c>
      <c r="G504" t="s">
        <v>14</v>
      </c>
      <c r="H504" t="s">
        <v>14</v>
      </c>
      <c r="I504" t="s">
        <v>14</v>
      </c>
      <c r="J504" t="s">
        <v>14</v>
      </c>
      <c r="K504">
        <v>1</v>
      </c>
      <c r="L504" t="s">
        <v>14</v>
      </c>
      <c r="M504" s="1">
        <v>2660000</v>
      </c>
      <c r="P504">
        <v>3480</v>
      </c>
      <c r="Q504">
        <f>IF(Table1[[#This Row],[furnishingstatus]]="furnished", 1, 0)</f>
        <v>0</v>
      </c>
      <c r="R504">
        <f>IF(Table1[[#This Row],[furnishingstatus]]="semi-furnished", 1, 0)</f>
        <v>1</v>
      </c>
      <c r="S504">
        <v>2</v>
      </c>
      <c r="T504">
        <v>1</v>
      </c>
      <c r="U504">
        <v>1</v>
      </c>
      <c r="V504">
        <f>IF(Table1[[#This Row],[mainroad]] = "yes", 1, 0)</f>
        <v>1</v>
      </c>
      <c r="W504">
        <f>IF(Table1[[#This Row],[guestroom]]= "yes", 1, 0)</f>
        <v>0</v>
      </c>
      <c r="X504">
        <f>IF(Table1[[#This Row],[basement]]="yes", 1, 0)</f>
        <v>0</v>
      </c>
      <c r="Y504">
        <f>IF(Table1[[#This Row],[hotwaterheating]]="yes", 1, 0)</f>
        <v>0</v>
      </c>
      <c r="Z504">
        <f>IF(Table1[[#This Row],[airconditioning]]="yes", 1, 0)</f>
        <v>0</v>
      </c>
      <c r="AA504">
        <v>1</v>
      </c>
      <c r="AB504">
        <f>IF(Table1[[#This Row],[prefarea]]= "yes", 1, 0)</f>
        <v>0</v>
      </c>
      <c r="AC504" s="1">
        <v>2660000</v>
      </c>
    </row>
    <row r="505" spans="1:29">
      <c r="A505">
        <v>4000</v>
      </c>
      <c r="B505" t="s">
        <v>16</v>
      </c>
      <c r="C505">
        <v>3</v>
      </c>
      <c r="D505">
        <v>1</v>
      </c>
      <c r="E505">
        <v>1</v>
      </c>
      <c r="F505" t="s">
        <v>13</v>
      </c>
      <c r="G505" t="s">
        <v>14</v>
      </c>
      <c r="H505" t="s">
        <v>14</v>
      </c>
      <c r="I505" t="s">
        <v>14</v>
      </c>
      <c r="J505" t="s">
        <v>14</v>
      </c>
      <c r="K505">
        <v>0</v>
      </c>
      <c r="L505" t="s">
        <v>14</v>
      </c>
      <c r="M505" s="1">
        <v>2660000</v>
      </c>
      <c r="P505">
        <v>4000</v>
      </c>
      <c r="Q505">
        <f>IF(Table1[[#This Row],[furnishingstatus]]="furnished", 1, 0)</f>
        <v>0</v>
      </c>
      <c r="R505">
        <f>IF(Table1[[#This Row],[furnishingstatus]]="semi-furnished", 1, 0)</f>
        <v>1</v>
      </c>
      <c r="S505">
        <v>3</v>
      </c>
      <c r="T505">
        <v>1</v>
      </c>
      <c r="U505">
        <v>1</v>
      </c>
      <c r="V505">
        <f>IF(Table1[[#This Row],[mainroad]] = "yes", 1, 0)</f>
        <v>1</v>
      </c>
      <c r="W505">
        <f>IF(Table1[[#This Row],[guestroom]]= "yes", 1, 0)</f>
        <v>0</v>
      </c>
      <c r="X505">
        <f>IF(Table1[[#This Row],[basement]]="yes", 1, 0)</f>
        <v>0</v>
      </c>
      <c r="Y505">
        <f>IF(Table1[[#This Row],[hotwaterheating]]="yes", 1, 0)</f>
        <v>0</v>
      </c>
      <c r="Z505">
        <f>IF(Table1[[#This Row],[airconditioning]]="yes", 1, 0)</f>
        <v>0</v>
      </c>
      <c r="AA505">
        <v>0</v>
      </c>
      <c r="AB505">
        <f>IF(Table1[[#This Row],[prefarea]]= "yes", 1, 0)</f>
        <v>0</v>
      </c>
      <c r="AC505" s="1">
        <v>2660000</v>
      </c>
    </row>
    <row r="506" spans="1:29">
      <c r="A506">
        <v>3185</v>
      </c>
      <c r="B506" t="s">
        <v>17</v>
      </c>
      <c r="C506">
        <v>2</v>
      </c>
      <c r="D506">
        <v>1</v>
      </c>
      <c r="E506">
        <v>1</v>
      </c>
      <c r="F506" t="s">
        <v>13</v>
      </c>
      <c r="G506" t="s">
        <v>14</v>
      </c>
      <c r="H506" t="s">
        <v>14</v>
      </c>
      <c r="I506" t="s">
        <v>14</v>
      </c>
      <c r="J506" t="s">
        <v>13</v>
      </c>
      <c r="K506">
        <v>0</v>
      </c>
      <c r="L506" t="s">
        <v>14</v>
      </c>
      <c r="M506" s="1">
        <v>2653000</v>
      </c>
      <c r="P506">
        <v>3185</v>
      </c>
      <c r="Q506">
        <f>IF(Table1[[#This Row],[furnishingstatus]]="furnished", 1, 0)</f>
        <v>0</v>
      </c>
      <c r="R506">
        <f>IF(Table1[[#This Row],[furnishingstatus]]="semi-furnished", 1, 0)</f>
        <v>0</v>
      </c>
      <c r="S506">
        <v>2</v>
      </c>
      <c r="T506">
        <v>1</v>
      </c>
      <c r="U506">
        <v>1</v>
      </c>
      <c r="V506">
        <f>IF(Table1[[#This Row],[mainroad]] = "yes", 1, 0)</f>
        <v>1</v>
      </c>
      <c r="W506">
        <f>IF(Table1[[#This Row],[guestroom]]= "yes", 1, 0)</f>
        <v>0</v>
      </c>
      <c r="X506">
        <f>IF(Table1[[#This Row],[basement]]="yes", 1, 0)</f>
        <v>0</v>
      </c>
      <c r="Y506">
        <f>IF(Table1[[#This Row],[hotwaterheating]]="yes", 1, 0)</f>
        <v>0</v>
      </c>
      <c r="Z506">
        <f>IF(Table1[[#This Row],[airconditioning]]="yes", 1, 0)</f>
        <v>1</v>
      </c>
      <c r="AA506">
        <v>0</v>
      </c>
      <c r="AB506">
        <f>IF(Table1[[#This Row],[prefarea]]= "yes", 1, 0)</f>
        <v>0</v>
      </c>
      <c r="AC506" s="1">
        <v>2653000</v>
      </c>
    </row>
    <row r="507" spans="1:29">
      <c r="A507">
        <v>4000</v>
      </c>
      <c r="B507" t="s">
        <v>17</v>
      </c>
      <c r="C507">
        <v>3</v>
      </c>
      <c r="D507">
        <v>1</v>
      </c>
      <c r="E507">
        <v>2</v>
      </c>
      <c r="F507" t="s">
        <v>13</v>
      </c>
      <c r="G507" t="s">
        <v>14</v>
      </c>
      <c r="H507" t="s">
        <v>14</v>
      </c>
      <c r="I507" t="s">
        <v>14</v>
      </c>
      <c r="J507" t="s">
        <v>13</v>
      </c>
      <c r="K507">
        <v>0</v>
      </c>
      <c r="L507" t="s">
        <v>14</v>
      </c>
      <c r="M507" s="1">
        <v>2653000</v>
      </c>
      <c r="P507">
        <v>4000</v>
      </c>
      <c r="Q507">
        <f>IF(Table1[[#This Row],[furnishingstatus]]="furnished", 1, 0)</f>
        <v>0</v>
      </c>
      <c r="R507">
        <f>IF(Table1[[#This Row],[furnishingstatus]]="semi-furnished", 1, 0)</f>
        <v>0</v>
      </c>
      <c r="S507">
        <v>3</v>
      </c>
      <c r="T507">
        <v>1</v>
      </c>
      <c r="U507">
        <v>2</v>
      </c>
      <c r="V507">
        <f>IF(Table1[[#This Row],[mainroad]] = "yes", 1, 0)</f>
        <v>1</v>
      </c>
      <c r="W507">
        <f>IF(Table1[[#This Row],[guestroom]]= "yes", 1, 0)</f>
        <v>0</v>
      </c>
      <c r="X507">
        <f>IF(Table1[[#This Row],[basement]]="yes", 1, 0)</f>
        <v>0</v>
      </c>
      <c r="Y507">
        <f>IF(Table1[[#This Row],[hotwaterheating]]="yes", 1, 0)</f>
        <v>0</v>
      </c>
      <c r="Z507">
        <f>IF(Table1[[#This Row],[airconditioning]]="yes", 1, 0)</f>
        <v>1</v>
      </c>
      <c r="AA507">
        <v>0</v>
      </c>
      <c r="AB507">
        <f>IF(Table1[[#This Row],[prefarea]]= "yes", 1, 0)</f>
        <v>0</v>
      </c>
      <c r="AC507" s="1">
        <v>2653000</v>
      </c>
    </row>
    <row r="508" spans="1:29">
      <c r="A508">
        <v>2910</v>
      </c>
      <c r="B508" t="s">
        <v>17</v>
      </c>
      <c r="C508">
        <v>2</v>
      </c>
      <c r="D508">
        <v>1</v>
      </c>
      <c r="E508">
        <v>1</v>
      </c>
      <c r="F508" t="s">
        <v>14</v>
      </c>
      <c r="G508" t="s">
        <v>14</v>
      </c>
      <c r="H508" t="s">
        <v>14</v>
      </c>
      <c r="I508" t="s">
        <v>14</v>
      </c>
      <c r="J508" t="s">
        <v>14</v>
      </c>
      <c r="K508">
        <v>0</v>
      </c>
      <c r="L508" t="s">
        <v>14</v>
      </c>
      <c r="M508" s="1">
        <v>2604000</v>
      </c>
      <c r="P508">
        <v>2910</v>
      </c>
      <c r="Q508">
        <f>IF(Table1[[#This Row],[furnishingstatus]]="furnished", 1, 0)</f>
        <v>0</v>
      </c>
      <c r="R508">
        <f>IF(Table1[[#This Row],[furnishingstatus]]="semi-furnished", 1, 0)</f>
        <v>0</v>
      </c>
      <c r="S508">
        <v>2</v>
      </c>
      <c r="T508">
        <v>1</v>
      </c>
      <c r="U508">
        <v>1</v>
      </c>
      <c r="V508">
        <f>IF(Table1[[#This Row],[mainroad]] = "yes", 1, 0)</f>
        <v>0</v>
      </c>
      <c r="W508">
        <f>IF(Table1[[#This Row],[guestroom]]= "yes", 1, 0)</f>
        <v>0</v>
      </c>
      <c r="X508">
        <f>IF(Table1[[#This Row],[basement]]="yes", 1, 0)</f>
        <v>0</v>
      </c>
      <c r="Y508">
        <f>IF(Table1[[#This Row],[hotwaterheating]]="yes", 1, 0)</f>
        <v>0</v>
      </c>
      <c r="Z508">
        <f>IF(Table1[[#This Row],[airconditioning]]="yes", 1, 0)</f>
        <v>0</v>
      </c>
      <c r="AA508">
        <v>0</v>
      </c>
      <c r="AB508">
        <f>IF(Table1[[#This Row],[prefarea]]= "yes", 1, 0)</f>
        <v>0</v>
      </c>
      <c r="AC508" s="1">
        <v>2604000</v>
      </c>
    </row>
    <row r="509" spans="1:29">
      <c r="A509">
        <v>3600</v>
      </c>
      <c r="B509" t="s">
        <v>17</v>
      </c>
      <c r="C509">
        <v>2</v>
      </c>
      <c r="D509">
        <v>1</v>
      </c>
      <c r="E509">
        <v>1</v>
      </c>
      <c r="F509" t="s">
        <v>13</v>
      </c>
      <c r="G509" t="s">
        <v>14</v>
      </c>
      <c r="H509" t="s">
        <v>14</v>
      </c>
      <c r="I509" t="s">
        <v>14</v>
      </c>
      <c r="J509" t="s">
        <v>14</v>
      </c>
      <c r="K509">
        <v>0</v>
      </c>
      <c r="L509" t="s">
        <v>14</v>
      </c>
      <c r="M509" s="1">
        <v>2590000</v>
      </c>
      <c r="P509">
        <v>3600</v>
      </c>
      <c r="Q509">
        <f>IF(Table1[[#This Row],[furnishingstatus]]="furnished", 1, 0)</f>
        <v>0</v>
      </c>
      <c r="R509">
        <f>IF(Table1[[#This Row],[furnishingstatus]]="semi-furnished", 1, 0)</f>
        <v>0</v>
      </c>
      <c r="S509">
        <v>2</v>
      </c>
      <c r="T509">
        <v>1</v>
      </c>
      <c r="U509">
        <v>1</v>
      </c>
      <c r="V509">
        <f>IF(Table1[[#This Row],[mainroad]] = "yes", 1, 0)</f>
        <v>1</v>
      </c>
      <c r="W509">
        <f>IF(Table1[[#This Row],[guestroom]]= "yes", 1, 0)</f>
        <v>0</v>
      </c>
      <c r="X509">
        <f>IF(Table1[[#This Row],[basement]]="yes", 1, 0)</f>
        <v>0</v>
      </c>
      <c r="Y509">
        <f>IF(Table1[[#This Row],[hotwaterheating]]="yes", 1, 0)</f>
        <v>0</v>
      </c>
      <c r="Z509">
        <f>IF(Table1[[#This Row],[airconditioning]]="yes", 1, 0)</f>
        <v>0</v>
      </c>
      <c r="AA509">
        <v>0</v>
      </c>
      <c r="AB509">
        <f>IF(Table1[[#This Row],[prefarea]]= "yes", 1, 0)</f>
        <v>0</v>
      </c>
      <c r="AC509" s="1">
        <v>2590000</v>
      </c>
    </row>
    <row r="510" spans="1:29">
      <c r="A510">
        <v>4400</v>
      </c>
      <c r="B510" t="s">
        <v>17</v>
      </c>
      <c r="C510">
        <v>2</v>
      </c>
      <c r="D510">
        <v>1</v>
      </c>
      <c r="E510">
        <v>1</v>
      </c>
      <c r="F510" t="s">
        <v>13</v>
      </c>
      <c r="G510" t="s">
        <v>14</v>
      </c>
      <c r="H510" t="s">
        <v>14</v>
      </c>
      <c r="I510" t="s">
        <v>14</v>
      </c>
      <c r="J510" t="s">
        <v>14</v>
      </c>
      <c r="K510">
        <v>0</v>
      </c>
      <c r="L510" t="s">
        <v>14</v>
      </c>
      <c r="M510" s="1">
        <v>2590000</v>
      </c>
      <c r="P510">
        <v>4400</v>
      </c>
      <c r="Q510">
        <f>IF(Table1[[#This Row],[furnishingstatus]]="furnished", 1, 0)</f>
        <v>0</v>
      </c>
      <c r="R510">
        <f>IF(Table1[[#This Row],[furnishingstatus]]="semi-furnished", 1, 0)</f>
        <v>0</v>
      </c>
      <c r="S510">
        <v>2</v>
      </c>
      <c r="T510">
        <v>1</v>
      </c>
      <c r="U510">
        <v>1</v>
      </c>
      <c r="V510">
        <f>IF(Table1[[#This Row],[mainroad]] = "yes", 1, 0)</f>
        <v>1</v>
      </c>
      <c r="W510">
        <f>IF(Table1[[#This Row],[guestroom]]= "yes", 1, 0)</f>
        <v>0</v>
      </c>
      <c r="X510">
        <f>IF(Table1[[#This Row],[basement]]="yes", 1, 0)</f>
        <v>0</v>
      </c>
      <c r="Y510">
        <f>IF(Table1[[#This Row],[hotwaterheating]]="yes", 1, 0)</f>
        <v>0</v>
      </c>
      <c r="Z510">
        <f>IF(Table1[[#This Row],[airconditioning]]="yes", 1, 0)</f>
        <v>0</v>
      </c>
      <c r="AA510">
        <v>0</v>
      </c>
      <c r="AB510">
        <f>IF(Table1[[#This Row],[prefarea]]= "yes", 1, 0)</f>
        <v>0</v>
      </c>
      <c r="AC510" s="1">
        <v>2590000</v>
      </c>
    </row>
    <row r="511" spans="1:29">
      <c r="A511">
        <v>3600</v>
      </c>
      <c r="B511" t="s">
        <v>15</v>
      </c>
      <c r="C511">
        <v>2</v>
      </c>
      <c r="D511">
        <v>2</v>
      </c>
      <c r="E511">
        <v>2</v>
      </c>
      <c r="F511" t="s">
        <v>13</v>
      </c>
      <c r="G511" t="s">
        <v>14</v>
      </c>
      <c r="H511" t="s">
        <v>13</v>
      </c>
      <c r="I511" t="s">
        <v>14</v>
      </c>
      <c r="J511" t="s">
        <v>14</v>
      </c>
      <c r="K511">
        <v>1</v>
      </c>
      <c r="L511" t="s">
        <v>14</v>
      </c>
      <c r="M511" s="1">
        <v>2590000</v>
      </c>
      <c r="P511">
        <v>3600</v>
      </c>
      <c r="Q511">
        <f>IF(Table1[[#This Row],[furnishingstatus]]="furnished", 1, 0)</f>
        <v>1</v>
      </c>
      <c r="R511">
        <f>IF(Table1[[#This Row],[furnishingstatus]]="semi-furnished", 1, 0)</f>
        <v>0</v>
      </c>
      <c r="S511">
        <v>2</v>
      </c>
      <c r="T511">
        <v>2</v>
      </c>
      <c r="U511">
        <v>2</v>
      </c>
      <c r="V511">
        <f>IF(Table1[[#This Row],[mainroad]] = "yes", 1, 0)</f>
        <v>1</v>
      </c>
      <c r="W511">
        <f>IF(Table1[[#This Row],[guestroom]]= "yes", 1, 0)</f>
        <v>0</v>
      </c>
      <c r="X511">
        <f>IF(Table1[[#This Row],[basement]]="yes", 1, 0)</f>
        <v>1</v>
      </c>
      <c r="Y511">
        <f>IF(Table1[[#This Row],[hotwaterheating]]="yes", 1, 0)</f>
        <v>0</v>
      </c>
      <c r="Z511">
        <f>IF(Table1[[#This Row],[airconditioning]]="yes", 1, 0)</f>
        <v>0</v>
      </c>
      <c r="AA511">
        <v>1</v>
      </c>
      <c r="AB511">
        <f>IF(Table1[[#This Row],[prefarea]]= "yes", 1, 0)</f>
        <v>0</v>
      </c>
      <c r="AC511" s="1">
        <v>2590000</v>
      </c>
    </row>
    <row r="512" spans="1:29">
      <c r="A512">
        <v>2880</v>
      </c>
      <c r="B512" t="s">
        <v>17</v>
      </c>
      <c r="C512">
        <v>3</v>
      </c>
      <c r="D512">
        <v>1</v>
      </c>
      <c r="E512">
        <v>1</v>
      </c>
      <c r="F512" t="s">
        <v>14</v>
      </c>
      <c r="G512" t="s">
        <v>14</v>
      </c>
      <c r="H512" t="s">
        <v>14</v>
      </c>
      <c r="I512" t="s">
        <v>14</v>
      </c>
      <c r="J512" t="s">
        <v>14</v>
      </c>
      <c r="K512">
        <v>0</v>
      </c>
      <c r="L512" t="s">
        <v>14</v>
      </c>
      <c r="M512" s="1">
        <v>2520000</v>
      </c>
      <c r="P512">
        <v>2880</v>
      </c>
      <c r="Q512">
        <f>IF(Table1[[#This Row],[furnishingstatus]]="furnished", 1, 0)</f>
        <v>0</v>
      </c>
      <c r="R512">
        <f>IF(Table1[[#This Row],[furnishingstatus]]="semi-furnished", 1, 0)</f>
        <v>0</v>
      </c>
      <c r="S512">
        <v>3</v>
      </c>
      <c r="T512">
        <v>1</v>
      </c>
      <c r="U512">
        <v>1</v>
      </c>
      <c r="V512">
        <f>IF(Table1[[#This Row],[mainroad]] = "yes", 1, 0)</f>
        <v>0</v>
      </c>
      <c r="W512">
        <f>IF(Table1[[#This Row],[guestroom]]= "yes", 1, 0)</f>
        <v>0</v>
      </c>
      <c r="X512">
        <f>IF(Table1[[#This Row],[basement]]="yes", 1, 0)</f>
        <v>0</v>
      </c>
      <c r="Y512">
        <f>IF(Table1[[#This Row],[hotwaterheating]]="yes", 1, 0)</f>
        <v>0</v>
      </c>
      <c r="Z512">
        <f>IF(Table1[[#This Row],[airconditioning]]="yes", 1, 0)</f>
        <v>0</v>
      </c>
      <c r="AA512">
        <v>0</v>
      </c>
      <c r="AB512">
        <f>IF(Table1[[#This Row],[prefarea]]= "yes", 1, 0)</f>
        <v>0</v>
      </c>
      <c r="AC512" s="1">
        <v>2520000</v>
      </c>
    </row>
    <row r="513" spans="1:29">
      <c r="A513">
        <v>3180</v>
      </c>
      <c r="B513" t="s">
        <v>17</v>
      </c>
      <c r="C513">
        <v>3</v>
      </c>
      <c r="D513">
        <v>1</v>
      </c>
      <c r="E513">
        <v>1</v>
      </c>
      <c r="F513" t="s">
        <v>14</v>
      </c>
      <c r="G513" t="s">
        <v>14</v>
      </c>
      <c r="H513" t="s">
        <v>14</v>
      </c>
      <c r="I513" t="s">
        <v>14</v>
      </c>
      <c r="J513" t="s">
        <v>14</v>
      </c>
      <c r="K513">
        <v>0</v>
      </c>
      <c r="L513" t="s">
        <v>14</v>
      </c>
      <c r="M513" s="1">
        <v>2520000</v>
      </c>
      <c r="P513">
        <v>3180</v>
      </c>
      <c r="Q513">
        <f>IF(Table1[[#This Row],[furnishingstatus]]="furnished", 1, 0)</f>
        <v>0</v>
      </c>
      <c r="R513">
        <f>IF(Table1[[#This Row],[furnishingstatus]]="semi-furnished", 1, 0)</f>
        <v>0</v>
      </c>
      <c r="S513">
        <v>3</v>
      </c>
      <c r="T513">
        <v>1</v>
      </c>
      <c r="U513">
        <v>1</v>
      </c>
      <c r="V513">
        <f>IF(Table1[[#This Row],[mainroad]] = "yes", 1, 0)</f>
        <v>0</v>
      </c>
      <c r="W513">
        <f>IF(Table1[[#This Row],[guestroom]]= "yes", 1, 0)</f>
        <v>0</v>
      </c>
      <c r="X513">
        <f>IF(Table1[[#This Row],[basement]]="yes", 1, 0)</f>
        <v>0</v>
      </c>
      <c r="Y513">
        <f>IF(Table1[[#This Row],[hotwaterheating]]="yes", 1, 0)</f>
        <v>0</v>
      </c>
      <c r="Z513">
        <f>IF(Table1[[#This Row],[airconditioning]]="yes", 1, 0)</f>
        <v>0</v>
      </c>
      <c r="AA513">
        <v>0</v>
      </c>
      <c r="AB513">
        <f>IF(Table1[[#This Row],[prefarea]]= "yes", 1, 0)</f>
        <v>0</v>
      </c>
      <c r="AC513" s="1">
        <v>2520000</v>
      </c>
    </row>
    <row r="514" spans="1:29">
      <c r="A514">
        <v>3000</v>
      </c>
      <c r="B514" t="s">
        <v>15</v>
      </c>
      <c r="C514">
        <v>2</v>
      </c>
      <c r="D514">
        <v>1</v>
      </c>
      <c r="E514">
        <v>2</v>
      </c>
      <c r="F514" t="s">
        <v>13</v>
      </c>
      <c r="G514" t="s">
        <v>14</v>
      </c>
      <c r="H514" t="s">
        <v>14</v>
      </c>
      <c r="I514" t="s">
        <v>14</v>
      </c>
      <c r="J514" t="s">
        <v>14</v>
      </c>
      <c r="K514">
        <v>0</v>
      </c>
      <c r="L514" t="s">
        <v>14</v>
      </c>
      <c r="M514" s="1">
        <v>2520000</v>
      </c>
      <c r="P514">
        <v>3000</v>
      </c>
      <c r="Q514">
        <f>IF(Table1[[#This Row],[furnishingstatus]]="furnished", 1, 0)</f>
        <v>1</v>
      </c>
      <c r="R514">
        <f>IF(Table1[[#This Row],[furnishingstatus]]="semi-furnished", 1, 0)</f>
        <v>0</v>
      </c>
      <c r="S514">
        <v>2</v>
      </c>
      <c r="T514">
        <v>1</v>
      </c>
      <c r="U514">
        <v>2</v>
      </c>
      <c r="V514">
        <f>IF(Table1[[#This Row],[mainroad]] = "yes", 1, 0)</f>
        <v>1</v>
      </c>
      <c r="W514">
        <f>IF(Table1[[#This Row],[guestroom]]= "yes", 1, 0)</f>
        <v>0</v>
      </c>
      <c r="X514">
        <f>IF(Table1[[#This Row],[basement]]="yes", 1, 0)</f>
        <v>0</v>
      </c>
      <c r="Y514">
        <f>IF(Table1[[#This Row],[hotwaterheating]]="yes", 1, 0)</f>
        <v>0</v>
      </c>
      <c r="Z514">
        <f>IF(Table1[[#This Row],[airconditioning]]="yes", 1, 0)</f>
        <v>0</v>
      </c>
      <c r="AA514">
        <v>0</v>
      </c>
      <c r="AB514">
        <f>IF(Table1[[#This Row],[prefarea]]= "yes", 1, 0)</f>
        <v>0</v>
      </c>
      <c r="AC514" s="1">
        <v>2520000</v>
      </c>
    </row>
    <row r="515" spans="1:29">
      <c r="A515">
        <v>4400</v>
      </c>
      <c r="B515" t="s">
        <v>17</v>
      </c>
      <c r="C515">
        <v>3</v>
      </c>
      <c r="D515">
        <v>1</v>
      </c>
      <c r="E515">
        <v>2</v>
      </c>
      <c r="F515" t="s">
        <v>13</v>
      </c>
      <c r="G515" t="s">
        <v>14</v>
      </c>
      <c r="H515" t="s">
        <v>14</v>
      </c>
      <c r="I515" t="s">
        <v>14</v>
      </c>
      <c r="J515" t="s">
        <v>14</v>
      </c>
      <c r="K515">
        <v>0</v>
      </c>
      <c r="L515" t="s">
        <v>14</v>
      </c>
      <c r="M515" s="1">
        <v>2485000</v>
      </c>
      <c r="P515">
        <v>4400</v>
      </c>
      <c r="Q515">
        <f>IF(Table1[[#This Row],[furnishingstatus]]="furnished", 1, 0)</f>
        <v>0</v>
      </c>
      <c r="R515">
        <f>IF(Table1[[#This Row],[furnishingstatus]]="semi-furnished", 1, 0)</f>
        <v>0</v>
      </c>
      <c r="S515">
        <v>3</v>
      </c>
      <c r="T515">
        <v>1</v>
      </c>
      <c r="U515">
        <v>2</v>
      </c>
      <c r="V515">
        <f>IF(Table1[[#This Row],[mainroad]] = "yes", 1, 0)</f>
        <v>1</v>
      </c>
      <c r="W515">
        <f>IF(Table1[[#This Row],[guestroom]]= "yes", 1, 0)</f>
        <v>0</v>
      </c>
      <c r="X515">
        <f>IF(Table1[[#This Row],[basement]]="yes", 1, 0)</f>
        <v>0</v>
      </c>
      <c r="Y515">
        <f>IF(Table1[[#This Row],[hotwaterheating]]="yes", 1, 0)</f>
        <v>0</v>
      </c>
      <c r="Z515">
        <f>IF(Table1[[#This Row],[airconditioning]]="yes", 1, 0)</f>
        <v>0</v>
      </c>
      <c r="AA515">
        <v>0</v>
      </c>
      <c r="AB515">
        <f>IF(Table1[[#This Row],[prefarea]]= "yes", 1, 0)</f>
        <v>0</v>
      </c>
      <c r="AC515" s="1">
        <v>2485000</v>
      </c>
    </row>
    <row r="516" spans="1:29">
      <c r="A516">
        <v>3000</v>
      </c>
      <c r="B516" t="s">
        <v>16</v>
      </c>
      <c r="C516">
        <v>3</v>
      </c>
      <c r="D516">
        <v>1</v>
      </c>
      <c r="E516">
        <v>2</v>
      </c>
      <c r="F516" t="s">
        <v>14</v>
      </c>
      <c r="G516" t="s">
        <v>14</v>
      </c>
      <c r="H516" t="s">
        <v>14</v>
      </c>
      <c r="I516" t="s">
        <v>14</v>
      </c>
      <c r="J516" t="s">
        <v>14</v>
      </c>
      <c r="K516">
        <v>0</v>
      </c>
      <c r="L516" t="s">
        <v>14</v>
      </c>
      <c r="M516" s="1">
        <v>2485000</v>
      </c>
      <c r="P516">
        <v>3000</v>
      </c>
      <c r="Q516">
        <f>IF(Table1[[#This Row],[furnishingstatus]]="furnished", 1, 0)</f>
        <v>0</v>
      </c>
      <c r="R516">
        <f>IF(Table1[[#This Row],[furnishingstatus]]="semi-furnished", 1, 0)</f>
        <v>1</v>
      </c>
      <c r="S516">
        <v>3</v>
      </c>
      <c r="T516">
        <v>1</v>
      </c>
      <c r="U516">
        <v>2</v>
      </c>
      <c r="V516">
        <f>IF(Table1[[#This Row],[mainroad]] = "yes", 1, 0)</f>
        <v>0</v>
      </c>
      <c r="W516">
        <f>IF(Table1[[#This Row],[guestroom]]= "yes", 1, 0)</f>
        <v>0</v>
      </c>
      <c r="X516">
        <f>IF(Table1[[#This Row],[basement]]="yes", 1, 0)</f>
        <v>0</v>
      </c>
      <c r="Y516">
        <f>IF(Table1[[#This Row],[hotwaterheating]]="yes", 1, 0)</f>
        <v>0</v>
      </c>
      <c r="Z516">
        <f>IF(Table1[[#This Row],[airconditioning]]="yes", 1, 0)</f>
        <v>0</v>
      </c>
      <c r="AA516">
        <v>0</v>
      </c>
      <c r="AB516">
        <f>IF(Table1[[#This Row],[prefarea]]= "yes", 1, 0)</f>
        <v>0</v>
      </c>
      <c r="AC516" s="1">
        <v>2485000</v>
      </c>
    </row>
    <row r="517" spans="1:29">
      <c r="A517">
        <v>3210</v>
      </c>
      <c r="B517" t="s">
        <v>17</v>
      </c>
      <c r="C517">
        <v>3</v>
      </c>
      <c r="D517">
        <v>1</v>
      </c>
      <c r="E517">
        <v>2</v>
      </c>
      <c r="F517" t="s">
        <v>13</v>
      </c>
      <c r="G517" t="s">
        <v>14</v>
      </c>
      <c r="H517" t="s">
        <v>13</v>
      </c>
      <c r="I517" t="s">
        <v>14</v>
      </c>
      <c r="J517" t="s">
        <v>14</v>
      </c>
      <c r="K517">
        <v>0</v>
      </c>
      <c r="L517" t="s">
        <v>14</v>
      </c>
      <c r="M517" s="1">
        <v>2450000</v>
      </c>
      <c r="P517">
        <v>3210</v>
      </c>
      <c r="Q517">
        <f>IF(Table1[[#This Row],[furnishingstatus]]="furnished", 1, 0)</f>
        <v>0</v>
      </c>
      <c r="R517">
        <f>IF(Table1[[#This Row],[furnishingstatus]]="semi-furnished", 1, 0)</f>
        <v>0</v>
      </c>
      <c r="S517">
        <v>3</v>
      </c>
      <c r="T517">
        <v>1</v>
      </c>
      <c r="U517">
        <v>2</v>
      </c>
      <c r="V517">
        <f>IF(Table1[[#This Row],[mainroad]] = "yes", 1, 0)</f>
        <v>1</v>
      </c>
      <c r="W517">
        <f>IF(Table1[[#This Row],[guestroom]]= "yes", 1, 0)</f>
        <v>0</v>
      </c>
      <c r="X517">
        <f>IF(Table1[[#This Row],[basement]]="yes", 1, 0)</f>
        <v>1</v>
      </c>
      <c r="Y517">
        <f>IF(Table1[[#This Row],[hotwaterheating]]="yes", 1, 0)</f>
        <v>0</v>
      </c>
      <c r="Z517">
        <f>IF(Table1[[#This Row],[airconditioning]]="yes", 1, 0)</f>
        <v>0</v>
      </c>
      <c r="AA517">
        <v>0</v>
      </c>
      <c r="AB517">
        <f>IF(Table1[[#This Row],[prefarea]]= "yes", 1, 0)</f>
        <v>0</v>
      </c>
      <c r="AC517" s="1">
        <v>2450000</v>
      </c>
    </row>
    <row r="518" spans="1:29">
      <c r="A518">
        <v>3240</v>
      </c>
      <c r="B518" t="s">
        <v>17</v>
      </c>
      <c r="C518">
        <v>2</v>
      </c>
      <c r="D518">
        <v>1</v>
      </c>
      <c r="E518">
        <v>1</v>
      </c>
      <c r="F518" t="s">
        <v>14</v>
      </c>
      <c r="G518" t="s">
        <v>13</v>
      </c>
      <c r="H518" t="s">
        <v>14</v>
      </c>
      <c r="I518" t="s">
        <v>14</v>
      </c>
      <c r="J518" t="s">
        <v>14</v>
      </c>
      <c r="K518">
        <v>1</v>
      </c>
      <c r="L518" t="s">
        <v>14</v>
      </c>
      <c r="M518" s="1">
        <v>2450000</v>
      </c>
      <c r="P518">
        <v>3240</v>
      </c>
      <c r="Q518">
        <f>IF(Table1[[#This Row],[furnishingstatus]]="furnished", 1, 0)</f>
        <v>0</v>
      </c>
      <c r="R518">
        <f>IF(Table1[[#This Row],[furnishingstatus]]="semi-furnished", 1, 0)</f>
        <v>0</v>
      </c>
      <c r="S518">
        <v>2</v>
      </c>
      <c r="T518">
        <v>1</v>
      </c>
      <c r="U518">
        <v>1</v>
      </c>
      <c r="V518">
        <f>IF(Table1[[#This Row],[mainroad]] = "yes", 1, 0)</f>
        <v>0</v>
      </c>
      <c r="W518">
        <f>IF(Table1[[#This Row],[guestroom]]= "yes", 1, 0)</f>
        <v>1</v>
      </c>
      <c r="X518">
        <f>IF(Table1[[#This Row],[basement]]="yes", 1, 0)</f>
        <v>0</v>
      </c>
      <c r="Y518">
        <f>IF(Table1[[#This Row],[hotwaterheating]]="yes", 1, 0)</f>
        <v>0</v>
      </c>
      <c r="Z518">
        <f>IF(Table1[[#This Row],[airconditioning]]="yes", 1, 0)</f>
        <v>0</v>
      </c>
      <c r="AA518">
        <v>1</v>
      </c>
      <c r="AB518">
        <f>IF(Table1[[#This Row],[prefarea]]= "yes", 1, 0)</f>
        <v>0</v>
      </c>
      <c r="AC518" s="1">
        <v>2450000</v>
      </c>
    </row>
    <row r="519" spans="1:29">
      <c r="A519">
        <v>3000</v>
      </c>
      <c r="B519" t="s">
        <v>17</v>
      </c>
      <c r="C519">
        <v>2</v>
      </c>
      <c r="D519">
        <v>1</v>
      </c>
      <c r="E519">
        <v>1</v>
      </c>
      <c r="F519" t="s">
        <v>13</v>
      </c>
      <c r="G519" t="s">
        <v>14</v>
      </c>
      <c r="H519" t="s">
        <v>14</v>
      </c>
      <c r="I519" t="s">
        <v>14</v>
      </c>
      <c r="J519" t="s">
        <v>14</v>
      </c>
      <c r="K519">
        <v>1</v>
      </c>
      <c r="L519" t="s">
        <v>14</v>
      </c>
      <c r="M519" s="1">
        <v>2450000</v>
      </c>
      <c r="P519">
        <v>3000</v>
      </c>
      <c r="Q519">
        <f>IF(Table1[[#This Row],[furnishingstatus]]="furnished", 1, 0)</f>
        <v>0</v>
      </c>
      <c r="R519">
        <f>IF(Table1[[#This Row],[furnishingstatus]]="semi-furnished", 1, 0)</f>
        <v>0</v>
      </c>
      <c r="S519">
        <v>2</v>
      </c>
      <c r="T519">
        <v>1</v>
      </c>
      <c r="U519">
        <v>1</v>
      </c>
      <c r="V519">
        <f>IF(Table1[[#This Row],[mainroad]] = "yes", 1, 0)</f>
        <v>1</v>
      </c>
      <c r="W519">
        <f>IF(Table1[[#This Row],[guestroom]]= "yes", 1, 0)</f>
        <v>0</v>
      </c>
      <c r="X519">
        <f>IF(Table1[[#This Row],[basement]]="yes", 1, 0)</f>
        <v>0</v>
      </c>
      <c r="Y519">
        <f>IF(Table1[[#This Row],[hotwaterheating]]="yes", 1, 0)</f>
        <v>0</v>
      </c>
      <c r="Z519">
        <f>IF(Table1[[#This Row],[airconditioning]]="yes", 1, 0)</f>
        <v>0</v>
      </c>
      <c r="AA519">
        <v>1</v>
      </c>
      <c r="AB519">
        <f>IF(Table1[[#This Row],[prefarea]]= "yes", 1, 0)</f>
        <v>0</v>
      </c>
      <c r="AC519" s="1">
        <v>2450000</v>
      </c>
    </row>
    <row r="520" spans="1:29">
      <c r="A520">
        <v>3500</v>
      </c>
      <c r="B520" t="s">
        <v>17</v>
      </c>
      <c r="C520">
        <v>2</v>
      </c>
      <c r="D520">
        <v>1</v>
      </c>
      <c r="E520">
        <v>1</v>
      </c>
      <c r="F520" t="s">
        <v>13</v>
      </c>
      <c r="G520" t="s">
        <v>13</v>
      </c>
      <c r="H520" t="s">
        <v>14</v>
      </c>
      <c r="I520" t="s">
        <v>14</v>
      </c>
      <c r="J520" t="s">
        <v>14</v>
      </c>
      <c r="K520">
        <v>0</v>
      </c>
      <c r="L520" t="s">
        <v>14</v>
      </c>
      <c r="M520" s="1">
        <v>2450000</v>
      </c>
      <c r="P520">
        <v>3500</v>
      </c>
      <c r="Q520">
        <f>IF(Table1[[#This Row],[furnishingstatus]]="furnished", 1, 0)</f>
        <v>0</v>
      </c>
      <c r="R520">
        <f>IF(Table1[[#This Row],[furnishingstatus]]="semi-furnished", 1, 0)</f>
        <v>0</v>
      </c>
      <c r="S520">
        <v>2</v>
      </c>
      <c r="T520">
        <v>1</v>
      </c>
      <c r="U520">
        <v>1</v>
      </c>
      <c r="V520">
        <f>IF(Table1[[#This Row],[mainroad]] = "yes", 1, 0)</f>
        <v>1</v>
      </c>
      <c r="W520">
        <f>IF(Table1[[#This Row],[guestroom]]= "yes", 1, 0)</f>
        <v>1</v>
      </c>
      <c r="X520">
        <f>IF(Table1[[#This Row],[basement]]="yes", 1, 0)</f>
        <v>0</v>
      </c>
      <c r="Y520">
        <f>IF(Table1[[#This Row],[hotwaterheating]]="yes", 1, 0)</f>
        <v>0</v>
      </c>
      <c r="Z520">
        <f>IF(Table1[[#This Row],[airconditioning]]="yes", 1, 0)</f>
        <v>0</v>
      </c>
      <c r="AA520">
        <v>0</v>
      </c>
      <c r="AB520">
        <f>IF(Table1[[#This Row],[prefarea]]= "yes", 1, 0)</f>
        <v>0</v>
      </c>
      <c r="AC520" s="1">
        <v>2450000</v>
      </c>
    </row>
    <row r="521" spans="1:29">
      <c r="A521">
        <v>4840</v>
      </c>
      <c r="B521" t="s">
        <v>17</v>
      </c>
      <c r="C521">
        <v>2</v>
      </c>
      <c r="D521">
        <v>1</v>
      </c>
      <c r="E521">
        <v>2</v>
      </c>
      <c r="F521" t="s">
        <v>13</v>
      </c>
      <c r="G521" t="s">
        <v>14</v>
      </c>
      <c r="H521" t="s">
        <v>14</v>
      </c>
      <c r="I521" t="s">
        <v>14</v>
      </c>
      <c r="J521" t="s">
        <v>14</v>
      </c>
      <c r="K521">
        <v>0</v>
      </c>
      <c r="L521" t="s">
        <v>14</v>
      </c>
      <c r="M521" s="1">
        <v>2450000</v>
      </c>
      <c r="P521">
        <v>4840</v>
      </c>
      <c r="Q521">
        <f>IF(Table1[[#This Row],[furnishingstatus]]="furnished", 1, 0)</f>
        <v>0</v>
      </c>
      <c r="R521">
        <f>IF(Table1[[#This Row],[furnishingstatus]]="semi-furnished", 1, 0)</f>
        <v>0</v>
      </c>
      <c r="S521">
        <v>2</v>
      </c>
      <c r="T521">
        <v>1</v>
      </c>
      <c r="U521">
        <v>2</v>
      </c>
      <c r="V521">
        <f>IF(Table1[[#This Row],[mainroad]] = "yes", 1, 0)</f>
        <v>1</v>
      </c>
      <c r="W521">
        <f>IF(Table1[[#This Row],[guestroom]]= "yes", 1, 0)</f>
        <v>0</v>
      </c>
      <c r="X521">
        <f>IF(Table1[[#This Row],[basement]]="yes", 1, 0)</f>
        <v>0</v>
      </c>
      <c r="Y521">
        <f>IF(Table1[[#This Row],[hotwaterheating]]="yes", 1, 0)</f>
        <v>0</v>
      </c>
      <c r="Z521">
        <f>IF(Table1[[#This Row],[airconditioning]]="yes", 1, 0)</f>
        <v>0</v>
      </c>
      <c r="AA521">
        <v>0</v>
      </c>
      <c r="AB521">
        <f>IF(Table1[[#This Row],[prefarea]]= "yes", 1, 0)</f>
        <v>0</v>
      </c>
      <c r="AC521" s="1">
        <v>2450000</v>
      </c>
    </row>
    <row r="522" spans="1:29">
      <c r="A522">
        <v>7700</v>
      </c>
      <c r="B522" t="s">
        <v>17</v>
      </c>
      <c r="C522">
        <v>2</v>
      </c>
      <c r="D522">
        <v>1</v>
      </c>
      <c r="E522">
        <v>1</v>
      </c>
      <c r="F522" t="s">
        <v>13</v>
      </c>
      <c r="G522" t="s">
        <v>14</v>
      </c>
      <c r="H522" t="s">
        <v>14</v>
      </c>
      <c r="I522" t="s">
        <v>14</v>
      </c>
      <c r="J522" t="s">
        <v>14</v>
      </c>
      <c r="K522">
        <v>0</v>
      </c>
      <c r="L522" t="s">
        <v>14</v>
      </c>
      <c r="M522" s="1">
        <v>2450000</v>
      </c>
      <c r="P522">
        <v>7700</v>
      </c>
      <c r="Q522">
        <f>IF(Table1[[#This Row],[furnishingstatus]]="furnished", 1, 0)</f>
        <v>0</v>
      </c>
      <c r="R522">
        <f>IF(Table1[[#This Row],[furnishingstatus]]="semi-furnished", 1, 0)</f>
        <v>0</v>
      </c>
      <c r="S522">
        <v>2</v>
      </c>
      <c r="T522">
        <v>1</v>
      </c>
      <c r="U522">
        <v>1</v>
      </c>
      <c r="V522">
        <f>IF(Table1[[#This Row],[mainroad]] = "yes", 1, 0)</f>
        <v>1</v>
      </c>
      <c r="W522">
        <f>IF(Table1[[#This Row],[guestroom]]= "yes", 1, 0)</f>
        <v>0</v>
      </c>
      <c r="X522">
        <f>IF(Table1[[#This Row],[basement]]="yes", 1, 0)</f>
        <v>0</v>
      </c>
      <c r="Y522">
        <f>IF(Table1[[#This Row],[hotwaterheating]]="yes", 1, 0)</f>
        <v>0</v>
      </c>
      <c r="Z522">
        <f>IF(Table1[[#This Row],[airconditioning]]="yes", 1, 0)</f>
        <v>0</v>
      </c>
      <c r="AA522">
        <v>0</v>
      </c>
      <c r="AB522">
        <f>IF(Table1[[#This Row],[prefarea]]= "yes", 1, 0)</f>
        <v>0</v>
      </c>
      <c r="AC522" s="1">
        <v>2450000</v>
      </c>
    </row>
    <row r="523" spans="1:29">
      <c r="A523">
        <v>3635</v>
      </c>
      <c r="B523" t="s">
        <v>17</v>
      </c>
      <c r="C523">
        <v>2</v>
      </c>
      <c r="D523">
        <v>1</v>
      </c>
      <c r="E523">
        <v>1</v>
      </c>
      <c r="F523" t="s">
        <v>14</v>
      </c>
      <c r="G523" t="s">
        <v>14</v>
      </c>
      <c r="H523" t="s">
        <v>14</v>
      </c>
      <c r="I523" t="s">
        <v>14</v>
      </c>
      <c r="J523" t="s">
        <v>14</v>
      </c>
      <c r="K523">
        <v>0</v>
      </c>
      <c r="L523" t="s">
        <v>14</v>
      </c>
      <c r="M523" s="1">
        <v>2408000</v>
      </c>
      <c r="P523">
        <v>3635</v>
      </c>
      <c r="Q523">
        <f>IF(Table1[[#This Row],[furnishingstatus]]="furnished", 1, 0)</f>
        <v>0</v>
      </c>
      <c r="R523">
        <f>IF(Table1[[#This Row],[furnishingstatus]]="semi-furnished", 1, 0)</f>
        <v>0</v>
      </c>
      <c r="S523">
        <v>2</v>
      </c>
      <c r="T523">
        <v>1</v>
      </c>
      <c r="U523">
        <v>1</v>
      </c>
      <c r="V523">
        <f>IF(Table1[[#This Row],[mainroad]] = "yes", 1, 0)</f>
        <v>0</v>
      </c>
      <c r="W523">
        <f>IF(Table1[[#This Row],[guestroom]]= "yes", 1, 0)</f>
        <v>0</v>
      </c>
      <c r="X523">
        <f>IF(Table1[[#This Row],[basement]]="yes", 1, 0)</f>
        <v>0</v>
      </c>
      <c r="Y523">
        <f>IF(Table1[[#This Row],[hotwaterheating]]="yes", 1, 0)</f>
        <v>0</v>
      </c>
      <c r="Z523">
        <f>IF(Table1[[#This Row],[airconditioning]]="yes", 1, 0)</f>
        <v>0</v>
      </c>
      <c r="AA523">
        <v>0</v>
      </c>
      <c r="AB523">
        <f>IF(Table1[[#This Row],[prefarea]]= "yes", 1, 0)</f>
        <v>0</v>
      </c>
      <c r="AC523" s="1">
        <v>2408000</v>
      </c>
    </row>
    <row r="524" spans="1:29">
      <c r="A524">
        <v>2475</v>
      </c>
      <c r="B524" t="s">
        <v>15</v>
      </c>
      <c r="C524">
        <v>3</v>
      </c>
      <c r="D524">
        <v>1</v>
      </c>
      <c r="E524">
        <v>2</v>
      </c>
      <c r="F524" t="s">
        <v>13</v>
      </c>
      <c r="G524" t="s">
        <v>14</v>
      </c>
      <c r="H524" t="s">
        <v>14</v>
      </c>
      <c r="I524" t="s">
        <v>14</v>
      </c>
      <c r="J524" t="s">
        <v>14</v>
      </c>
      <c r="K524">
        <v>0</v>
      </c>
      <c r="L524" t="s">
        <v>14</v>
      </c>
      <c r="M524" s="1">
        <v>2380000</v>
      </c>
      <c r="P524">
        <v>2475</v>
      </c>
      <c r="Q524">
        <f>IF(Table1[[#This Row],[furnishingstatus]]="furnished", 1, 0)</f>
        <v>1</v>
      </c>
      <c r="R524">
        <f>IF(Table1[[#This Row],[furnishingstatus]]="semi-furnished", 1, 0)</f>
        <v>0</v>
      </c>
      <c r="S524">
        <v>3</v>
      </c>
      <c r="T524">
        <v>1</v>
      </c>
      <c r="U524">
        <v>2</v>
      </c>
      <c r="V524">
        <f>IF(Table1[[#This Row],[mainroad]] = "yes", 1, 0)</f>
        <v>1</v>
      </c>
      <c r="W524">
        <f>IF(Table1[[#This Row],[guestroom]]= "yes", 1, 0)</f>
        <v>0</v>
      </c>
      <c r="X524">
        <f>IF(Table1[[#This Row],[basement]]="yes", 1, 0)</f>
        <v>0</v>
      </c>
      <c r="Y524">
        <f>IF(Table1[[#This Row],[hotwaterheating]]="yes", 1, 0)</f>
        <v>0</v>
      </c>
      <c r="Z524">
        <f>IF(Table1[[#This Row],[airconditioning]]="yes", 1, 0)</f>
        <v>0</v>
      </c>
      <c r="AA524">
        <v>0</v>
      </c>
      <c r="AB524">
        <f>IF(Table1[[#This Row],[prefarea]]= "yes", 1, 0)</f>
        <v>0</v>
      </c>
      <c r="AC524" s="1">
        <v>2380000</v>
      </c>
    </row>
    <row r="525" spans="1:29">
      <c r="A525">
        <v>2787</v>
      </c>
      <c r="B525" t="s">
        <v>15</v>
      </c>
      <c r="C525">
        <v>4</v>
      </c>
      <c r="D525">
        <v>2</v>
      </c>
      <c r="E525">
        <v>2</v>
      </c>
      <c r="F525" t="s">
        <v>13</v>
      </c>
      <c r="G525" t="s">
        <v>14</v>
      </c>
      <c r="H525" t="s">
        <v>14</v>
      </c>
      <c r="I525" t="s">
        <v>14</v>
      </c>
      <c r="J525" t="s">
        <v>14</v>
      </c>
      <c r="K525">
        <v>0</v>
      </c>
      <c r="L525" t="s">
        <v>14</v>
      </c>
      <c r="M525" s="1">
        <v>2380000</v>
      </c>
      <c r="P525">
        <v>2787</v>
      </c>
      <c r="Q525">
        <f>IF(Table1[[#This Row],[furnishingstatus]]="furnished", 1, 0)</f>
        <v>1</v>
      </c>
      <c r="R525">
        <f>IF(Table1[[#This Row],[furnishingstatus]]="semi-furnished", 1, 0)</f>
        <v>0</v>
      </c>
      <c r="S525">
        <v>4</v>
      </c>
      <c r="T525">
        <v>2</v>
      </c>
      <c r="U525">
        <v>2</v>
      </c>
      <c r="V525">
        <f>IF(Table1[[#This Row],[mainroad]] = "yes", 1, 0)</f>
        <v>1</v>
      </c>
      <c r="W525">
        <f>IF(Table1[[#This Row],[guestroom]]= "yes", 1, 0)</f>
        <v>0</v>
      </c>
      <c r="X525">
        <f>IF(Table1[[#This Row],[basement]]="yes", 1, 0)</f>
        <v>0</v>
      </c>
      <c r="Y525">
        <f>IF(Table1[[#This Row],[hotwaterheating]]="yes", 1, 0)</f>
        <v>0</v>
      </c>
      <c r="Z525">
        <f>IF(Table1[[#This Row],[airconditioning]]="yes", 1, 0)</f>
        <v>0</v>
      </c>
      <c r="AA525">
        <v>0</v>
      </c>
      <c r="AB525">
        <f>IF(Table1[[#This Row],[prefarea]]= "yes", 1, 0)</f>
        <v>0</v>
      </c>
      <c r="AC525" s="1">
        <v>2380000</v>
      </c>
    </row>
    <row r="526" spans="1:29">
      <c r="A526">
        <v>3264</v>
      </c>
      <c r="B526" t="s">
        <v>17</v>
      </c>
      <c r="C526">
        <v>2</v>
      </c>
      <c r="D526">
        <v>1</v>
      </c>
      <c r="E526">
        <v>1</v>
      </c>
      <c r="F526" t="s">
        <v>13</v>
      </c>
      <c r="G526" t="s">
        <v>14</v>
      </c>
      <c r="H526" t="s">
        <v>14</v>
      </c>
      <c r="I526" t="s">
        <v>14</v>
      </c>
      <c r="J526" t="s">
        <v>14</v>
      </c>
      <c r="K526">
        <v>0</v>
      </c>
      <c r="L526" t="s">
        <v>14</v>
      </c>
      <c r="M526" s="1">
        <v>2380000</v>
      </c>
      <c r="P526">
        <v>3264</v>
      </c>
      <c r="Q526">
        <f>IF(Table1[[#This Row],[furnishingstatus]]="furnished", 1, 0)</f>
        <v>0</v>
      </c>
      <c r="R526">
        <f>IF(Table1[[#This Row],[furnishingstatus]]="semi-furnished", 1, 0)</f>
        <v>0</v>
      </c>
      <c r="S526">
        <v>2</v>
      </c>
      <c r="T526">
        <v>1</v>
      </c>
      <c r="U526">
        <v>1</v>
      </c>
      <c r="V526">
        <f>IF(Table1[[#This Row],[mainroad]] = "yes", 1, 0)</f>
        <v>1</v>
      </c>
      <c r="W526">
        <f>IF(Table1[[#This Row],[guestroom]]= "yes", 1, 0)</f>
        <v>0</v>
      </c>
      <c r="X526">
        <f>IF(Table1[[#This Row],[basement]]="yes", 1, 0)</f>
        <v>0</v>
      </c>
      <c r="Y526">
        <f>IF(Table1[[#This Row],[hotwaterheating]]="yes", 1, 0)</f>
        <v>0</v>
      </c>
      <c r="Z526">
        <f>IF(Table1[[#This Row],[airconditioning]]="yes", 1, 0)</f>
        <v>0</v>
      </c>
      <c r="AA526">
        <v>0</v>
      </c>
      <c r="AB526">
        <f>IF(Table1[[#This Row],[prefarea]]= "yes", 1, 0)</f>
        <v>0</v>
      </c>
      <c r="AC526" s="1">
        <v>2380000</v>
      </c>
    </row>
    <row r="527" spans="1:29">
      <c r="A527">
        <v>3640</v>
      </c>
      <c r="B527" t="s">
        <v>17</v>
      </c>
      <c r="C527">
        <v>2</v>
      </c>
      <c r="D527">
        <v>1</v>
      </c>
      <c r="E527">
        <v>1</v>
      </c>
      <c r="F527" t="s">
        <v>13</v>
      </c>
      <c r="G527" t="s">
        <v>14</v>
      </c>
      <c r="H527" t="s">
        <v>14</v>
      </c>
      <c r="I527" t="s">
        <v>14</v>
      </c>
      <c r="J527" t="s">
        <v>14</v>
      </c>
      <c r="K527">
        <v>0</v>
      </c>
      <c r="L527" t="s">
        <v>14</v>
      </c>
      <c r="M527" s="1">
        <v>2345000</v>
      </c>
      <c r="P527">
        <v>3640</v>
      </c>
      <c r="Q527">
        <f>IF(Table1[[#This Row],[furnishingstatus]]="furnished", 1, 0)</f>
        <v>0</v>
      </c>
      <c r="R527">
        <f>IF(Table1[[#This Row],[furnishingstatus]]="semi-furnished", 1, 0)</f>
        <v>0</v>
      </c>
      <c r="S527">
        <v>2</v>
      </c>
      <c r="T527">
        <v>1</v>
      </c>
      <c r="U527">
        <v>1</v>
      </c>
      <c r="V527">
        <f>IF(Table1[[#This Row],[mainroad]] = "yes", 1, 0)</f>
        <v>1</v>
      </c>
      <c r="W527">
        <f>IF(Table1[[#This Row],[guestroom]]= "yes", 1, 0)</f>
        <v>0</v>
      </c>
      <c r="X527">
        <f>IF(Table1[[#This Row],[basement]]="yes", 1, 0)</f>
        <v>0</v>
      </c>
      <c r="Y527">
        <f>IF(Table1[[#This Row],[hotwaterheating]]="yes", 1, 0)</f>
        <v>0</v>
      </c>
      <c r="Z527">
        <f>IF(Table1[[#This Row],[airconditioning]]="yes", 1, 0)</f>
        <v>0</v>
      </c>
      <c r="AA527">
        <v>0</v>
      </c>
      <c r="AB527">
        <f>IF(Table1[[#This Row],[prefarea]]= "yes", 1, 0)</f>
        <v>0</v>
      </c>
      <c r="AC527" s="1">
        <v>2345000</v>
      </c>
    </row>
    <row r="528" spans="1:29">
      <c r="A528">
        <v>3180</v>
      </c>
      <c r="B528" t="s">
        <v>17</v>
      </c>
      <c r="C528">
        <v>2</v>
      </c>
      <c r="D528">
        <v>1</v>
      </c>
      <c r="E528">
        <v>1</v>
      </c>
      <c r="F528" t="s">
        <v>13</v>
      </c>
      <c r="G528" t="s">
        <v>14</v>
      </c>
      <c r="H528" t="s">
        <v>14</v>
      </c>
      <c r="I528" t="s">
        <v>14</v>
      </c>
      <c r="J528" t="s">
        <v>14</v>
      </c>
      <c r="K528">
        <v>0</v>
      </c>
      <c r="L528" t="s">
        <v>14</v>
      </c>
      <c r="M528" s="1">
        <v>2310000</v>
      </c>
      <c r="P528">
        <v>3180</v>
      </c>
      <c r="Q528">
        <f>IF(Table1[[#This Row],[furnishingstatus]]="furnished", 1, 0)</f>
        <v>0</v>
      </c>
      <c r="R528">
        <f>IF(Table1[[#This Row],[furnishingstatus]]="semi-furnished", 1, 0)</f>
        <v>0</v>
      </c>
      <c r="S528">
        <v>2</v>
      </c>
      <c r="T528">
        <v>1</v>
      </c>
      <c r="U528">
        <v>1</v>
      </c>
      <c r="V528">
        <f>IF(Table1[[#This Row],[mainroad]] = "yes", 1, 0)</f>
        <v>1</v>
      </c>
      <c r="W528">
        <f>IF(Table1[[#This Row],[guestroom]]= "yes", 1, 0)</f>
        <v>0</v>
      </c>
      <c r="X528">
        <f>IF(Table1[[#This Row],[basement]]="yes", 1, 0)</f>
        <v>0</v>
      </c>
      <c r="Y528">
        <f>IF(Table1[[#This Row],[hotwaterheating]]="yes", 1, 0)</f>
        <v>0</v>
      </c>
      <c r="Z528">
        <f>IF(Table1[[#This Row],[airconditioning]]="yes", 1, 0)</f>
        <v>0</v>
      </c>
      <c r="AA528">
        <v>0</v>
      </c>
      <c r="AB528">
        <f>IF(Table1[[#This Row],[prefarea]]= "yes", 1, 0)</f>
        <v>0</v>
      </c>
      <c r="AC528" s="1">
        <v>2310000</v>
      </c>
    </row>
    <row r="529" spans="1:29">
      <c r="A529">
        <v>1836</v>
      </c>
      <c r="B529" t="s">
        <v>16</v>
      </c>
      <c r="C529">
        <v>2</v>
      </c>
      <c r="D529">
        <v>1</v>
      </c>
      <c r="E529">
        <v>1</v>
      </c>
      <c r="F529" t="s">
        <v>14</v>
      </c>
      <c r="G529" t="s">
        <v>14</v>
      </c>
      <c r="H529" t="s">
        <v>13</v>
      </c>
      <c r="I529" t="s">
        <v>14</v>
      </c>
      <c r="J529" t="s">
        <v>14</v>
      </c>
      <c r="K529">
        <v>0</v>
      </c>
      <c r="L529" t="s">
        <v>14</v>
      </c>
      <c r="M529" s="1">
        <v>2275000</v>
      </c>
      <c r="P529">
        <v>1836</v>
      </c>
      <c r="Q529">
        <f>IF(Table1[[#This Row],[furnishingstatus]]="furnished", 1, 0)</f>
        <v>0</v>
      </c>
      <c r="R529">
        <f>IF(Table1[[#This Row],[furnishingstatus]]="semi-furnished", 1, 0)</f>
        <v>1</v>
      </c>
      <c r="S529">
        <v>2</v>
      </c>
      <c r="T529">
        <v>1</v>
      </c>
      <c r="U529">
        <v>1</v>
      </c>
      <c r="V529">
        <f>IF(Table1[[#This Row],[mainroad]] = "yes", 1, 0)</f>
        <v>0</v>
      </c>
      <c r="W529">
        <f>IF(Table1[[#This Row],[guestroom]]= "yes", 1, 0)</f>
        <v>0</v>
      </c>
      <c r="X529">
        <f>IF(Table1[[#This Row],[basement]]="yes", 1, 0)</f>
        <v>1</v>
      </c>
      <c r="Y529">
        <f>IF(Table1[[#This Row],[hotwaterheating]]="yes", 1, 0)</f>
        <v>0</v>
      </c>
      <c r="Z529">
        <f>IF(Table1[[#This Row],[airconditioning]]="yes", 1, 0)</f>
        <v>0</v>
      </c>
      <c r="AA529">
        <v>0</v>
      </c>
      <c r="AB529">
        <f>IF(Table1[[#This Row],[prefarea]]= "yes", 1, 0)</f>
        <v>0</v>
      </c>
      <c r="AC529" s="1">
        <v>2275000</v>
      </c>
    </row>
    <row r="530" spans="1:29">
      <c r="A530">
        <v>3970</v>
      </c>
      <c r="B530" t="s">
        <v>17</v>
      </c>
      <c r="C530">
        <v>1</v>
      </c>
      <c r="D530">
        <v>1</v>
      </c>
      <c r="E530">
        <v>1</v>
      </c>
      <c r="F530" t="s">
        <v>14</v>
      </c>
      <c r="G530" t="s">
        <v>14</v>
      </c>
      <c r="H530" t="s">
        <v>14</v>
      </c>
      <c r="I530" t="s">
        <v>14</v>
      </c>
      <c r="J530" t="s">
        <v>14</v>
      </c>
      <c r="K530">
        <v>0</v>
      </c>
      <c r="L530" t="s">
        <v>14</v>
      </c>
      <c r="M530" s="1">
        <v>2275000</v>
      </c>
      <c r="P530">
        <v>3970</v>
      </c>
      <c r="Q530">
        <f>IF(Table1[[#This Row],[furnishingstatus]]="furnished", 1, 0)</f>
        <v>0</v>
      </c>
      <c r="R530">
        <f>IF(Table1[[#This Row],[furnishingstatus]]="semi-furnished", 1, 0)</f>
        <v>0</v>
      </c>
      <c r="S530">
        <v>1</v>
      </c>
      <c r="T530">
        <v>1</v>
      </c>
      <c r="U530">
        <v>1</v>
      </c>
      <c r="V530">
        <f>IF(Table1[[#This Row],[mainroad]] = "yes", 1, 0)</f>
        <v>0</v>
      </c>
      <c r="W530">
        <f>IF(Table1[[#This Row],[guestroom]]= "yes", 1, 0)</f>
        <v>0</v>
      </c>
      <c r="X530">
        <f>IF(Table1[[#This Row],[basement]]="yes", 1, 0)</f>
        <v>0</v>
      </c>
      <c r="Y530">
        <f>IF(Table1[[#This Row],[hotwaterheating]]="yes", 1, 0)</f>
        <v>0</v>
      </c>
      <c r="Z530">
        <f>IF(Table1[[#This Row],[airconditioning]]="yes", 1, 0)</f>
        <v>0</v>
      </c>
      <c r="AA530">
        <v>0</v>
      </c>
      <c r="AB530">
        <f>IF(Table1[[#This Row],[prefarea]]= "yes", 1, 0)</f>
        <v>0</v>
      </c>
      <c r="AC530" s="1">
        <v>2275000</v>
      </c>
    </row>
    <row r="531" spans="1:29">
      <c r="A531">
        <v>3970</v>
      </c>
      <c r="B531" t="s">
        <v>17</v>
      </c>
      <c r="C531">
        <v>3</v>
      </c>
      <c r="D531">
        <v>1</v>
      </c>
      <c r="E531">
        <v>2</v>
      </c>
      <c r="F531" t="s">
        <v>13</v>
      </c>
      <c r="G531" t="s">
        <v>14</v>
      </c>
      <c r="H531" t="s">
        <v>13</v>
      </c>
      <c r="I531" t="s">
        <v>14</v>
      </c>
      <c r="J531" t="s">
        <v>14</v>
      </c>
      <c r="K531">
        <v>0</v>
      </c>
      <c r="L531" t="s">
        <v>14</v>
      </c>
      <c r="M531" s="1">
        <v>2275000</v>
      </c>
      <c r="P531">
        <v>3970</v>
      </c>
      <c r="Q531">
        <f>IF(Table1[[#This Row],[furnishingstatus]]="furnished", 1, 0)</f>
        <v>0</v>
      </c>
      <c r="R531">
        <f>IF(Table1[[#This Row],[furnishingstatus]]="semi-furnished", 1, 0)</f>
        <v>0</v>
      </c>
      <c r="S531">
        <v>3</v>
      </c>
      <c r="T531">
        <v>1</v>
      </c>
      <c r="U531">
        <v>2</v>
      </c>
      <c r="V531">
        <f>IF(Table1[[#This Row],[mainroad]] = "yes", 1, 0)</f>
        <v>1</v>
      </c>
      <c r="W531">
        <f>IF(Table1[[#This Row],[guestroom]]= "yes", 1, 0)</f>
        <v>0</v>
      </c>
      <c r="X531">
        <f>IF(Table1[[#This Row],[basement]]="yes", 1, 0)</f>
        <v>1</v>
      </c>
      <c r="Y531">
        <f>IF(Table1[[#This Row],[hotwaterheating]]="yes", 1, 0)</f>
        <v>0</v>
      </c>
      <c r="Z531">
        <f>IF(Table1[[#This Row],[airconditioning]]="yes", 1, 0)</f>
        <v>0</v>
      </c>
      <c r="AA531">
        <v>0</v>
      </c>
      <c r="AB531">
        <f>IF(Table1[[#This Row],[prefarea]]= "yes", 1, 0)</f>
        <v>0</v>
      </c>
      <c r="AC531" s="1">
        <v>2275000</v>
      </c>
    </row>
    <row r="532" spans="1:29">
      <c r="A532">
        <v>1950</v>
      </c>
      <c r="B532" t="s">
        <v>17</v>
      </c>
      <c r="C532">
        <v>3</v>
      </c>
      <c r="D532">
        <v>1</v>
      </c>
      <c r="E532">
        <v>1</v>
      </c>
      <c r="F532" t="s">
        <v>14</v>
      </c>
      <c r="G532" t="s">
        <v>14</v>
      </c>
      <c r="H532" t="s">
        <v>14</v>
      </c>
      <c r="I532" t="s">
        <v>13</v>
      </c>
      <c r="J532" t="s">
        <v>14</v>
      </c>
      <c r="K532">
        <v>0</v>
      </c>
      <c r="L532" t="s">
        <v>14</v>
      </c>
      <c r="M532" s="1">
        <v>2240000</v>
      </c>
      <c r="P532">
        <v>1950</v>
      </c>
      <c r="Q532">
        <f>IF(Table1[[#This Row],[furnishingstatus]]="furnished", 1, 0)</f>
        <v>0</v>
      </c>
      <c r="R532">
        <f>IF(Table1[[#This Row],[furnishingstatus]]="semi-furnished", 1, 0)</f>
        <v>0</v>
      </c>
      <c r="S532">
        <v>3</v>
      </c>
      <c r="T532">
        <v>1</v>
      </c>
      <c r="U532">
        <v>1</v>
      </c>
      <c r="V532">
        <f>IF(Table1[[#This Row],[mainroad]] = "yes", 1, 0)</f>
        <v>0</v>
      </c>
      <c r="W532">
        <f>IF(Table1[[#This Row],[guestroom]]= "yes", 1, 0)</f>
        <v>0</v>
      </c>
      <c r="X532">
        <f>IF(Table1[[#This Row],[basement]]="yes", 1, 0)</f>
        <v>0</v>
      </c>
      <c r="Y532">
        <f>IF(Table1[[#This Row],[hotwaterheating]]="yes", 1, 0)</f>
        <v>1</v>
      </c>
      <c r="Z532">
        <f>IF(Table1[[#This Row],[airconditioning]]="yes", 1, 0)</f>
        <v>0</v>
      </c>
      <c r="AA532">
        <v>0</v>
      </c>
      <c r="AB532">
        <f>IF(Table1[[#This Row],[prefarea]]= "yes", 1, 0)</f>
        <v>0</v>
      </c>
      <c r="AC532" s="1">
        <v>2240000</v>
      </c>
    </row>
    <row r="533" spans="1:29">
      <c r="A533">
        <v>5300</v>
      </c>
      <c r="B533" t="s">
        <v>17</v>
      </c>
      <c r="C533">
        <v>3</v>
      </c>
      <c r="D533">
        <v>1</v>
      </c>
      <c r="E533">
        <v>1</v>
      </c>
      <c r="F533" t="s">
        <v>14</v>
      </c>
      <c r="G533" t="s">
        <v>14</v>
      </c>
      <c r="H533" t="s">
        <v>14</v>
      </c>
      <c r="I533" t="s">
        <v>14</v>
      </c>
      <c r="J533" t="s">
        <v>13</v>
      </c>
      <c r="K533">
        <v>0</v>
      </c>
      <c r="L533" t="s">
        <v>13</v>
      </c>
      <c r="M533" s="1">
        <v>2233000</v>
      </c>
      <c r="P533">
        <v>5300</v>
      </c>
      <c r="Q533">
        <f>IF(Table1[[#This Row],[furnishingstatus]]="furnished", 1, 0)</f>
        <v>0</v>
      </c>
      <c r="R533">
        <f>IF(Table1[[#This Row],[furnishingstatus]]="semi-furnished", 1, 0)</f>
        <v>0</v>
      </c>
      <c r="S533">
        <v>3</v>
      </c>
      <c r="T533">
        <v>1</v>
      </c>
      <c r="U533">
        <v>1</v>
      </c>
      <c r="V533">
        <f>IF(Table1[[#This Row],[mainroad]] = "yes", 1, 0)</f>
        <v>0</v>
      </c>
      <c r="W533">
        <f>IF(Table1[[#This Row],[guestroom]]= "yes", 1, 0)</f>
        <v>0</v>
      </c>
      <c r="X533">
        <f>IF(Table1[[#This Row],[basement]]="yes", 1, 0)</f>
        <v>0</v>
      </c>
      <c r="Y533">
        <f>IF(Table1[[#This Row],[hotwaterheating]]="yes", 1, 0)</f>
        <v>0</v>
      </c>
      <c r="Z533">
        <f>IF(Table1[[#This Row],[airconditioning]]="yes", 1, 0)</f>
        <v>1</v>
      </c>
      <c r="AA533">
        <v>0</v>
      </c>
      <c r="AB533">
        <f>IF(Table1[[#This Row],[prefarea]]= "yes", 1, 0)</f>
        <v>1</v>
      </c>
      <c r="AC533" s="1">
        <v>2233000</v>
      </c>
    </row>
    <row r="534" spans="1:29">
      <c r="A534">
        <v>3000</v>
      </c>
      <c r="B534" t="s">
        <v>17</v>
      </c>
      <c r="C534">
        <v>2</v>
      </c>
      <c r="D534">
        <v>1</v>
      </c>
      <c r="E534">
        <v>1</v>
      </c>
      <c r="F534" t="s">
        <v>14</v>
      </c>
      <c r="G534" t="s">
        <v>14</v>
      </c>
      <c r="H534" t="s">
        <v>14</v>
      </c>
      <c r="I534" t="s">
        <v>14</v>
      </c>
      <c r="J534" t="s">
        <v>14</v>
      </c>
      <c r="K534">
        <v>0</v>
      </c>
      <c r="L534" t="s">
        <v>14</v>
      </c>
      <c r="M534" s="1">
        <v>2135000</v>
      </c>
      <c r="P534">
        <v>3000</v>
      </c>
      <c r="Q534">
        <f>IF(Table1[[#This Row],[furnishingstatus]]="furnished", 1, 0)</f>
        <v>0</v>
      </c>
      <c r="R534">
        <f>IF(Table1[[#This Row],[furnishingstatus]]="semi-furnished", 1, 0)</f>
        <v>0</v>
      </c>
      <c r="S534">
        <v>2</v>
      </c>
      <c r="T534">
        <v>1</v>
      </c>
      <c r="U534">
        <v>1</v>
      </c>
      <c r="V534">
        <f>IF(Table1[[#This Row],[mainroad]] = "yes", 1, 0)</f>
        <v>0</v>
      </c>
      <c r="W534">
        <f>IF(Table1[[#This Row],[guestroom]]= "yes", 1, 0)</f>
        <v>0</v>
      </c>
      <c r="X534">
        <f>IF(Table1[[#This Row],[basement]]="yes", 1, 0)</f>
        <v>0</v>
      </c>
      <c r="Y534">
        <f>IF(Table1[[#This Row],[hotwaterheating]]="yes", 1, 0)</f>
        <v>0</v>
      </c>
      <c r="Z534">
        <f>IF(Table1[[#This Row],[airconditioning]]="yes", 1, 0)</f>
        <v>0</v>
      </c>
      <c r="AA534">
        <v>0</v>
      </c>
      <c r="AB534">
        <f>IF(Table1[[#This Row],[prefarea]]= "yes", 1, 0)</f>
        <v>0</v>
      </c>
      <c r="AC534" s="1">
        <v>2135000</v>
      </c>
    </row>
    <row r="535" spans="1:29">
      <c r="A535">
        <v>2400</v>
      </c>
      <c r="B535" t="s">
        <v>17</v>
      </c>
      <c r="C535">
        <v>3</v>
      </c>
      <c r="D535">
        <v>1</v>
      </c>
      <c r="E535">
        <v>2</v>
      </c>
      <c r="F535" t="s">
        <v>13</v>
      </c>
      <c r="G535" t="s">
        <v>14</v>
      </c>
      <c r="H535" t="s">
        <v>14</v>
      </c>
      <c r="I535" t="s">
        <v>14</v>
      </c>
      <c r="J535" t="s">
        <v>14</v>
      </c>
      <c r="K535">
        <v>0</v>
      </c>
      <c r="L535" t="s">
        <v>14</v>
      </c>
      <c r="M535" s="1">
        <v>2100000</v>
      </c>
      <c r="P535">
        <v>2400</v>
      </c>
      <c r="Q535">
        <f>IF(Table1[[#This Row],[furnishingstatus]]="furnished", 1, 0)</f>
        <v>0</v>
      </c>
      <c r="R535">
        <f>IF(Table1[[#This Row],[furnishingstatus]]="semi-furnished", 1, 0)</f>
        <v>0</v>
      </c>
      <c r="S535">
        <v>3</v>
      </c>
      <c r="T535">
        <v>1</v>
      </c>
      <c r="U535">
        <v>2</v>
      </c>
      <c r="V535">
        <f>IF(Table1[[#This Row],[mainroad]] = "yes", 1, 0)</f>
        <v>1</v>
      </c>
      <c r="W535">
        <f>IF(Table1[[#This Row],[guestroom]]= "yes", 1, 0)</f>
        <v>0</v>
      </c>
      <c r="X535">
        <f>IF(Table1[[#This Row],[basement]]="yes", 1, 0)</f>
        <v>0</v>
      </c>
      <c r="Y535">
        <f>IF(Table1[[#This Row],[hotwaterheating]]="yes", 1, 0)</f>
        <v>0</v>
      </c>
      <c r="Z535">
        <f>IF(Table1[[#This Row],[airconditioning]]="yes", 1, 0)</f>
        <v>0</v>
      </c>
      <c r="AA535">
        <v>0</v>
      </c>
      <c r="AB535">
        <f>IF(Table1[[#This Row],[prefarea]]= "yes", 1, 0)</f>
        <v>0</v>
      </c>
      <c r="AC535" s="1">
        <v>2100000</v>
      </c>
    </row>
    <row r="536" spans="1:29">
      <c r="A536">
        <v>3000</v>
      </c>
      <c r="B536" t="s">
        <v>17</v>
      </c>
      <c r="C536">
        <v>4</v>
      </c>
      <c r="D536">
        <v>1</v>
      </c>
      <c r="E536">
        <v>2</v>
      </c>
      <c r="F536" t="s">
        <v>13</v>
      </c>
      <c r="G536" t="s">
        <v>14</v>
      </c>
      <c r="H536" t="s">
        <v>14</v>
      </c>
      <c r="I536" t="s">
        <v>14</v>
      </c>
      <c r="J536" t="s">
        <v>14</v>
      </c>
      <c r="K536">
        <v>0</v>
      </c>
      <c r="L536" t="s">
        <v>14</v>
      </c>
      <c r="M536" s="1">
        <v>2100000</v>
      </c>
      <c r="P536">
        <v>3000</v>
      </c>
      <c r="Q536">
        <f>IF(Table1[[#This Row],[furnishingstatus]]="furnished", 1, 0)</f>
        <v>0</v>
      </c>
      <c r="R536">
        <f>IF(Table1[[#This Row],[furnishingstatus]]="semi-furnished", 1, 0)</f>
        <v>0</v>
      </c>
      <c r="S536">
        <v>4</v>
      </c>
      <c r="T536">
        <v>1</v>
      </c>
      <c r="U536">
        <v>2</v>
      </c>
      <c r="V536">
        <f>IF(Table1[[#This Row],[mainroad]] = "yes", 1, 0)</f>
        <v>1</v>
      </c>
      <c r="W536">
        <f>IF(Table1[[#This Row],[guestroom]]= "yes", 1, 0)</f>
        <v>0</v>
      </c>
      <c r="X536">
        <f>IF(Table1[[#This Row],[basement]]="yes", 1, 0)</f>
        <v>0</v>
      </c>
      <c r="Y536">
        <f>IF(Table1[[#This Row],[hotwaterheating]]="yes", 1, 0)</f>
        <v>0</v>
      </c>
      <c r="Z536">
        <f>IF(Table1[[#This Row],[airconditioning]]="yes", 1, 0)</f>
        <v>0</v>
      </c>
      <c r="AA536">
        <v>0</v>
      </c>
      <c r="AB536">
        <f>IF(Table1[[#This Row],[prefarea]]= "yes", 1, 0)</f>
        <v>0</v>
      </c>
      <c r="AC536" s="1">
        <v>2100000</v>
      </c>
    </row>
    <row r="537" spans="1:29">
      <c r="A537">
        <v>3360</v>
      </c>
      <c r="B537" t="s">
        <v>17</v>
      </c>
      <c r="C537">
        <v>2</v>
      </c>
      <c r="D537">
        <v>1</v>
      </c>
      <c r="E537">
        <v>1</v>
      </c>
      <c r="F537" t="s">
        <v>13</v>
      </c>
      <c r="G537" t="s">
        <v>14</v>
      </c>
      <c r="H537" t="s">
        <v>14</v>
      </c>
      <c r="I537" t="s">
        <v>14</v>
      </c>
      <c r="J537" t="s">
        <v>14</v>
      </c>
      <c r="K537">
        <v>1</v>
      </c>
      <c r="L537" t="s">
        <v>14</v>
      </c>
      <c r="M537" s="1">
        <v>2100000</v>
      </c>
      <c r="P537">
        <v>3360</v>
      </c>
      <c r="Q537">
        <f>IF(Table1[[#This Row],[furnishingstatus]]="furnished", 1, 0)</f>
        <v>0</v>
      </c>
      <c r="R537">
        <f>IF(Table1[[#This Row],[furnishingstatus]]="semi-furnished", 1, 0)</f>
        <v>0</v>
      </c>
      <c r="S537">
        <v>2</v>
      </c>
      <c r="T537">
        <v>1</v>
      </c>
      <c r="U537">
        <v>1</v>
      </c>
      <c r="V537">
        <f>IF(Table1[[#This Row],[mainroad]] = "yes", 1, 0)</f>
        <v>1</v>
      </c>
      <c r="W537">
        <f>IF(Table1[[#This Row],[guestroom]]= "yes", 1, 0)</f>
        <v>0</v>
      </c>
      <c r="X537">
        <f>IF(Table1[[#This Row],[basement]]="yes", 1, 0)</f>
        <v>0</v>
      </c>
      <c r="Y537">
        <f>IF(Table1[[#This Row],[hotwaterheating]]="yes", 1, 0)</f>
        <v>0</v>
      </c>
      <c r="Z537">
        <f>IF(Table1[[#This Row],[airconditioning]]="yes", 1, 0)</f>
        <v>0</v>
      </c>
      <c r="AA537">
        <v>1</v>
      </c>
      <c r="AB537">
        <f>IF(Table1[[#This Row],[prefarea]]= "yes", 1, 0)</f>
        <v>0</v>
      </c>
      <c r="AC537" s="1">
        <v>2100000</v>
      </c>
    </row>
    <row r="538" spans="1:29">
      <c r="A538">
        <v>3420</v>
      </c>
      <c r="B538" t="s">
        <v>17</v>
      </c>
      <c r="C538">
        <v>5</v>
      </c>
      <c r="D538">
        <v>1</v>
      </c>
      <c r="E538">
        <v>2</v>
      </c>
      <c r="F538" t="s">
        <v>14</v>
      </c>
      <c r="G538" t="s">
        <v>14</v>
      </c>
      <c r="H538" t="s">
        <v>14</v>
      </c>
      <c r="I538" t="s">
        <v>14</v>
      </c>
      <c r="J538" t="s">
        <v>14</v>
      </c>
      <c r="K538">
        <v>0</v>
      </c>
      <c r="L538" t="s">
        <v>14</v>
      </c>
      <c r="M538" s="1">
        <v>1960000</v>
      </c>
      <c r="P538">
        <v>3420</v>
      </c>
      <c r="Q538">
        <f>IF(Table1[[#This Row],[furnishingstatus]]="furnished", 1, 0)</f>
        <v>0</v>
      </c>
      <c r="R538">
        <f>IF(Table1[[#This Row],[furnishingstatus]]="semi-furnished", 1, 0)</f>
        <v>0</v>
      </c>
      <c r="S538">
        <v>5</v>
      </c>
      <c r="T538">
        <v>1</v>
      </c>
      <c r="U538">
        <v>2</v>
      </c>
      <c r="V538">
        <f>IF(Table1[[#This Row],[mainroad]] = "yes", 1, 0)</f>
        <v>0</v>
      </c>
      <c r="W538">
        <f>IF(Table1[[#This Row],[guestroom]]= "yes", 1, 0)</f>
        <v>0</v>
      </c>
      <c r="X538">
        <f>IF(Table1[[#This Row],[basement]]="yes", 1, 0)</f>
        <v>0</v>
      </c>
      <c r="Y538">
        <f>IF(Table1[[#This Row],[hotwaterheating]]="yes", 1, 0)</f>
        <v>0</v>
      </c>
      <c r="Z538">
        <f>IF(Table1[[#This Row],[airconditioning]]="yes", 1, 0)</f>
        <v>0</v>
      </c>
      <c r="AA538">
        <v>0</v>
      </c>
      <c r="AB538">
        <f>IF(Table1[[#This Row],[prefarea]]= "yes", 1, 0)</f>
        <v>0</v>
      </c>
      <c r="AC538" s="1">
        <v>1960000</v>
      </c>
    </row>
    <row r="539" spans="1:29">
      <c r="A539">
        <v>1700</v>
      </c>
      <c r="B539" t="s">
        <v>17</v>
      </c>
      <c r="C539">
        <v>3</v>
      </c>
      <c r="D539">
        <v>1</v>
      </c>
      <c r="E539">
        <v>2</v>
      </c>
      <c r="F539" t="s">
        <v>13</v>
      </c>
      <c r="G539" t="s">
        <v>14</v>
      </c>
      <c r="H539" t="s">
        <v>14</v>
      </c>
      <c r="I539" t="s">
        <v>14</v>
      </c>
      <c r="J539" t="s">
        <v>14</v>
      </c>
      <c r="K539">
        <v>0</v>
      </c>
      <c r="L539" t="s">
        <v>14</v>
      </c>
      <c r="M539" s="1">
        <v>1890000</v>
      </c>
      <c r="P539">
        <v>1700</v>
      </c>
      <c r="Q539">
        <f>IF(Table1[[#This Row],[furnishingstatus]]="furnished", 1, 0)</f>
        <v>0</v>
      </c>
      <c r="R539">
        <f>IF(Table1[[#This Row],[furnishingstatus]]="semi-furnished", 1, 0)</f>
        <v>0</v>
      </c>
      <c r="S539">
        <v>3</v>
      </c>
      <c r="T539">
        <v>1</v>
      </c>
      <c r="U539">
        <v>2</v>
      </c>
      <c r="V539">
        <f>IF(Table1[[#This Row],[mainroad]] = "yes", 1, 0)</f>
        <v>1</v>
      </c>
      <c r="W539">
        <f>IF(Table1[[#This Row],[guestroom]]= "yes", 1, 0)</f>
        <v>0</v>
      </c>
      <c r="X539">
        <f>IF(Table1[[#This Row],[basement]]="yes", 1, 0)</f>
        <v>0</v>
      </c>
      <c r="Y539">
        <f>IF(Table1[[#This Row],[hotwaterheating]]="yes", 1, 0)</f>
        <v>0</v>
      </c>
      <c r="Z539">
        <f>IF(Table1[[#This Row],[airconditioning]]="yes", 1, 0)</f>
        <v>0</v>
      </c>
      <c r="AA539">
        <v>0</v>
      </c>
      <c r="AB539">
        <f>IF(Table1[[#This Row],[prefarea]]= "yes", 1, 0)</f>
        <v>0</v>
      </c>
      <c r="AC539" s="1">
        <v>1890000</v>
      </c>
    </row>
    <row r="540" spans="1:29">
      <c r="A540">
        <v>3649</v>
      </c>
      <c r="B540" t="s">
        <v>17</v>
      </c>
      <c r="C540">
        <v>2</v>
      </c>
      <c r="D540">
        <v>1</v>
      </c>
      <c r="E540">
        <v>1</v>
      </c>
      <c r="F540" t="s">
        <v>13</v>
      </c>
      <c r="G540" t="s">
        <v>14</v>
      </c>
      <c r="H540" t="s">
        <v>14</v>
      </c>
      <c r="I540" t="s">
        <v>14</v>
      </c>
      <c r="J540" t="s">
        <v>14</v>
      </c>
      <c r="K540">
        <v>0</v>
      </c>
      <c r="L540" t="s">
        <v>14</v>
      </c>
      <c r="M540" s="1">
        <v>1890000</v>
      </c>
      <c r="P540">
        <v>3649</v>
      </c>
      <c r="Q540">
        <f>IF(Table1[[#This Row],[furnishingstatus]]="furnished", 1, 0)</f>
        <v>0</v>
      </c>
      <c r="R540">
        <f>IF(Table1[[#This Row],[furnishingstatus]]="semi-furnished", 1, 0)</f>
        <v>0</v>
      </c>
      <c r="S540">
        <v>2</v>
      </c>
      <c r="T540">
        <v>1</v>
      </c>
      <c r="U540">
        <v>1</v>
      </c>
      <c r="V540">
        <f>IF(Table1[[#This Row],[mainroad]] = "yes", 1, 0)</f>
        <v>1</v>
      </c>
      <c r="W540">
        <f>IF(Table1[[#This Row],[guestroom]]= "yes", 1, 0)</f>
        <v>0</v>
      </c>
      <c r="X540">
        <f>IF(Table1[[#This Row],[basement]]="yes", 1, 0)</f>
        <v>0</v>
      </c>
      <c r="Y540">
        <f>IF(Table1[[#This Row],[hotwaterheating]]="yes", 1, 0)</f>
        <v>0</v>
      </c>
      <c r="Z540">
        <f>IF(Table1[[#This Row],[airconditioning]]="yes", 1, 0)</f>
        <v>0</v>
      </c>
      <c r="AA540">
        <v>0</v>
      </c>
      <c r="AB540">
        <f>IF(Table1[[#This Row],[prefarea]]= "yes", 1, 0)</f>
        <v>0</v>
      </c>
      <c r="AC540" s="1">
        <v>1890000</v>
      </c>
    </row>
    <row r="541" spans="1:29">
      <c r="A541">
        <v>2990</v>
      </c>
      <c r="B541" t="s">
        <v>17</v>
      </c>
      <c r="C541">
        <v>2</v>
      </c>
      <c r="D541">
        <v>1</v>
      </c>
      <c r="E541">
        <v>1</v>
      </c>
      <c r="F541" t="s">
        <v>14</v>
      </c>
      <c r="G541" t="s">
        <v>14</v>
      </c>
      <c r="H541" t="s">
        <v>14</v>
      </c>
      <c r="I541" t="s">
        <v>14</v>
      </c>
      <c r="J541" t="s">
        <v>14</v>
      </c>
      <c r="K541">
        <v>1</v>
      </c>
      <c r="L541" t="s">
        <v>14</v>
      </c>
      <c r="M541" s="1">
        <v>1855000</v>
      </c>
      <c r="P541">
        <v>2990</v>
      </c>
      <c r="Q541">
        <f>IF(Table1[[#This Row],[furnishingstatus]]="furnished", 1, 0)</f>
        <v>0</v>
      </c>
      <c r="R541">
        <f>IF(Table1[[#This Row],[furnishingstatus]]="semi-furnished", 1, 0)</f>
        <v>0</v>
      </c>
      <c r="S541">
        <v>2</v>
      </c>
      <c r="T541">
        <v>1</v>
      </c>
      <c r="U541">
        <v>1</v>
      </c>
      <c r="V541">
        <f>IF(Table1[[#This Row],[mainroad]] = "yes", 1, 0)</f>
        <v>0</v>
      </c>
      <c r="W541">
        <f>IF(Table1[[#This Row],[guestroom]]= "yes", 1, 0)</f>
        <v>0</v>
      </c>
      <c r="X541">
        <f>IF(Table1[[#This Row],[basement]]="yes", 1, 0)</f>
        <v>0</v>
      </c>
      <c r="Y541">
        <f>IF(Table1[[#This Row],[hotwaterheating]]="yes", 1, 0)</f>
        <v>0</v>
      </c>
      <c r="Z541">
        <f>IF(Table1[[#This Row],[airconditioning]]="yes", 1, 0)</f>
        <v>0</v>
      </c>
      <c r="AA541">
        <v>1</v>
      </c>
      <c r="AB541">
        <f>IF(Table1[[#This Row],[prefarea]]= "yes", 1, 0)</f>
        <v>0</v>
      </c>
      <c r="AC541" s="1">
        <v>1855000</v>
      </c>
    </row>
    <row r="542" spans="1:29">
      <c r="A542">
        <v>3000</v>
      </c>
      <c r="B542" t="s">
        <v>17</v>
      </c>
      <c r="C542">
        <v>2</v>
      </c>
      <c r="D542">
        <v>1</v>
      </c>
      <c r="E542">
        <v>1</v>
      </c>
      <c r="F542" t="s">
        <v>13</v>
      </c>
      <c r="G542" t="s">
        <v>14</v>
      </c>
      <c r="H542" t="s">
        <v>13</v>
      </c>
      <c r="I542" t="s">
        <v>14</v>
      </c>
      <c r="J542" t="s">
        <v>14</v>
      </c>
      <c r="K542">
        <v>2</v>
      </c>
      <c r="L542" t="s">
        <v>14</v>
      </c>
      <c r="M542" s="1">
        <v>1820000</v>
      </c>
      <c r="P542">
        <v>3000</v>
      </c>
      <c r="Q542">
        <f>IF(Table1[[#This Row],[furnishingstatus]]="furnished", 1, 0)</f>
        <v>0</v>
      </c>
      <c r="R542">
        <f>IF(Table1[[#This Row],[furnishingstatus]]="semi-furnished", 1, 0)</f>
        <v>0</v>
      </c>
      <c r="S542">
        <v>2</v>
      </c>
      <c r="T542">
        <v>1</v>
      </c>
      <c r="U542">
        <v>1</v>
      </c>
      <c r="V542">
        <f>IF(Table1[[#This Row],[mainroad]] = "yes", 1, 0)</f>
        <v>1</v>
      </c>
      <c r="W542">
        <f>IF(Table1[[#This Row],[guestroom]]= "yes", 1, 0)</f>
        <v>0</v>
      </c>
      <c r="X542">
        <f>IF(Table1[[#This Row],[basement]]="yes", 1, 0)</f>
        <v>1</v>
      </c>
      <c r="Y542">
        <f>IF(Table1[[#This Row],[hotwaterheating]]="yes", 1, 0)</f>
        <v>0</v>
      </c>
      <c r="Z542">
        <f>IF(Table1[[#This Row],[airconditioning]]="yes", 1, 0)</f>
        <v>0</v>
      </c>
      <c r="AA542">
        <v>2</v>
      </c>
      <c r="AB542">
        <f>IF(Table1[[#This Row],[prefarea]]= "yes", 1, 0)</f>
        <v>0</v>
      </c>
      <c r="AC542" s="1">
        <v>1820000</v>
      </c>
    </row>
    <row r="543" spans="1:29">
      <c r="A543">
        <v>2400</v>
      </c>
      <c r="B543" t="s">
        <v>16</v>
      </c>
      <c r="C543">
        <v>3</v>
      </c>
      <c r="D543">
        <v>1</v>
      </c>
      <c r="E543">
        <v>1</v>
      </c>
      <c r="F543" t="s">
        <v>14</v>
      </c>
      <c r="G543" t="s">
        <v>14</v>
      </c>
      <c r="H543" t="s">
        <v>14</v>
      </c>
      <c r="I543" t="s">
        <v>14</v>
      </c>
      <c r="J543" t="s">
        <v>14</v>
      </c>
      <c r="K543">
        <v>0</v>
      </c>
      <c r="L543" t="s">
        <v>14</v>
      </c>
      <c r="M543" s="1">
        <v>1767150</v>
      </c>
      <c r="P543">
        <v>2400</v>
      </c>
      <c r="Q543">
        <f>IF(Table1[[#This Row],[furnishingstatus]]="furnished", 1, 0)</f>
        <v>0</v>
      </c>
      <c r="R543">
        <f>IF(Table1[[#This Row],[furnishingstatus]]="semi-furnished", 1, 0)</f>
        <v>1</v>
      </c>
      <c r="S543">
        <v>3</v>
      </c>
      <c r="T543">
        <v>1</v>
      </c>
      <c r="U543">
        <v>1</v>
      </c>
      <c r="V543">
        <f>IF(Table1[[#This Row],[mainroad]] = "yes", 1, 0)</f>
        <v>0</v>
      </c>
      <c r="W543">
        <f>IF(Table1[[#This Row],[guestroom]]= "yes", 1, 0)</f>
        <v>0</v>
      </c>
      <c r="X543">
        <f>IF(Table1[[#This Row],[basement]]="yes", 1, 0)</f>
        <v>0</v>
      </c>
      <c r="Y543">
        <f>IF(Table1[[#This Row],[hotwaterheating]]="yes", 1, 0)</f>
        <v>0</v>
      </c>
      <c r="Z543">
        <f>IF(Table1[[#This Row],[airconditioning]]="yes", 1, 0)</f>
        <v>0</v>
      </c>
      <c r="AA543">
        <v>0</v>
      </c>
      <c r="AB543">
        <f>IF(Table1[[#This Row],[prefarea]]= "yes", 1, 0)</f>
        <v>0</v>
      </c>
      <c r="AC543" s="1">
        <v>1767150</v>
      </c>
    </row>
    <row r="544" spans="1:29">
      <c r="A544">
        <v>3620</v>
      </c>
      <c r="B544" t="s">
        <v>17</v>
      </c>
      <c r="C544">
        <v>2</v>
      </c>
      <c r="D544">
        <v>1</v>
      </c>
      <c r="E544">
        <v>1</v>
      </c>
      <c r="F544" t="s">
        <v>13</v>
      </c>
      <c r="G544" t="s">
        <v>14</v>
      </c>
      <c r="H544" t="s">
        <v>14</v>
      </c>
      <c r="I544" t="s">
        <v>14</v>
      </c>
      <c r="J544" t="s">
        <v>14</v>
      </c>
      <c r="K544">
        <v>0</v>
      </c>
      <c r="L544" t="s">
        <v>14</v>
      </c>
      <c r="M544" s="1">
        <v>1750000</v>
      </c>
      <c r="P544">
        <v>3620</v>
      </c>
      <c r="Q544">
        <f>IF(Table1[[#This Row],[furnishingstatus]]="furnished", 1, 0)</f>
        <v>0</v>
      </c>
      <c r="R544">
        <f>IF(Table1[[#This Row],[furnishingstatus]]="semi-furnished", 1, 0)</f>
        <v>0</v>
      </c>
      <c r="S544">
        <v>2</v>
      </c>
      <c r="T544">
        <v>1</v>
      </c>
      <c r="U544">
        <v>1</v>
      </c>
      <c r="V544">
        <f>IF(Table1[[#This Row],[mainroad]] = "yes", 1, 0)</f>
        <v>1</v>
      </c>
      <c r="W544">
        <f>IF(Table1[[#This Row],[guestroom]]= "yes", 1, 0)</f>
        <v>0</v>
      </c>
      <c r="X544">
        <f>IF(Table1[[#This Row],[basement]]="yes", 1, 0)</f>
        <v>0</v>
      </c>
      <c r="Y544">
        <f>IF(Table1[[#This Row],[hotwaterheating]]="yes", 1, 0)</f>
        <v>0</v>
      </c>
      <c r="Z544">
        <f>IF(Table1[[#This Row],[airconditioning]]="yes", 1, 0)</f>
        <v>0</v>
      </c>
      <c r="AA544">
        <v>0</v>
      </c>
      <c r="AB544">
        <f>IF(Table1[[#This Row],[prefarea]]= "yes", 1, 0)</f>
        <v>0</v>
      </c>
      <c r="AC544" s="1">
        <v>1750000</v>
      </c>
    </row>
    <row r="545" spans="1:29">
      <c r="A545">
        <v>2910</v>
      </c>
      <c r="B545" t="s">
        <v>15</v>
      </c>
      <c r="C545">
        <v>3</v>
      </c>
      <c r="D545">
        <v>1</v>
      </c>
      <c r="E545">
        <v>1</v>
      </c>
      <c r="F545" t="s">
        <v>14</v>
      </c>
      <c r="G545" t="s">
        <v>14</v>
      </c>
      <c r="H545" t="s">
        <v>14</v>
      </c>
      <c r="I545" t="s">
        <v>14</v>
      </c>
      <c r="J545" t="s">
        <v>14</v>
      </c>
      <c r="K545">
        <v>0</v>
      </c>
      <c r="L545" t="s">
        <v>14</v>
      </c>
      <c r="M545" s="1">
        <v>1750000</v>
      </c>
      <c r="P545">
        <v>2910</v>
      </c>
      <c r="Q545">
        <f>IF(Table1[[#This Row],[furnishingstatus]]="furnished", 1, 0)</f>
        <v>1</v>
      </c>
      <c r="R545">
        <f>IF(Table1[[#This Row],[furnishingstatus]]="semi-furnished", 1, 0)</f>
        <v>0</v>
      </c>
      <c r="S545">
        <v>3</v>
      </c>
      <c r="T545">
        <v>1</v>
      </c>
      <c r="U545">
        <v>1</v>
      </c>
      <c r="V545">
        <f>IF(Table1[[#This Row],[mainroad]] = "yes", 1, 0)</f>
        <v>0</v>
      </c>
      <c r="W545">
        <f>IF(Table1[[#This Row],[guestroom]]= "yes", 1, 0)</f>
        <v>0</v>
      </c>
      <c r="X545">
        <f>IF(Table1[[#This Row],[basement]]="yes", 1, 0)</f>
        <v>0</v>
      </c>
      <c r="Y545">
        <f>IF(Table1[[#This Row],[hotwaterheating]]="yes", 1, 0)</f>
        <v>0</v>
      </c>
      <c r="Z545">
        <f>IF(Table1[[#This Row],[airconditioning]]="yes", 1, 0)</f>
        <v>0</v>
      </c>
      <c r="AA545">
        <v>0</v>
      </c>
      <c r="AB545">
        <f>IF(Table1[[#This Row],[prefarea]]= "yes", 1, 0)</f>
        <v>0</v>
      </c>
      <c r="AC545" s="1">
        <v>1750000</v>
      </c>
    </row>
    <row r="546" spans="1:29">
      <c r="A546">
        <v>3850</v>
      </c>
      <c r="B546" t="s">
        <v>17</v>
      </c>
      <c r="C546">
        <v>3</v>
      </c>
      <c r="D546">
        <v>1</v>
      </c>
      <c r="E546">
        <v>2</v>
      </c>
      <c r="F546" t="s">
        <v>13</v>
      </c>
      <c r="G546" t="s">
        <v>14</v>
      </c>
      <c r="H546" t="s">
        <v>14</v>
      </c>
      <c r="I546" t="s">
        <v>14</v>
      </c>
      <c r="J546" t="s">
        <v>14</v>
      </c>
      <c r="K546">
        <v>0</v>
      </c>
      <c r="L546" t="s">
        <v>14</v>
      </c>
      <c r="M546" s="1">
        <v>1750000</v>
      </c>
      <c r="P546">
        <v>3850</v>
      </c>
      <c r="Q546">
        <f>IF(Table1[[#This Row],[furnishingstatus]]="furnished", 1, 0)</f>
        <v>0</v>
      </c>
      <c r="R546">
        <f>IF(Table1[[#This Row],[furnishingstatus]]="semi-furnished", 1, 0)</f>
        <v>0</v>
      </c>
      <c r="S546">
        <v>3</v>
      </c>
      <c r="T546">
        <v>1</v>
      </c>
      <c r="U546">
        <v>2</v>
      </c>
      <c r="V546">
        <f>IF(Table1[[#This Row],[mainroad]] = "yes", 1, 0)</f>
        <v>1</v>
      </c>
      <c r="W546">
        <f>IF(Table1[[#This Row],[guestroom]]= "yes", 1, 0)</f>
        <v>0</v>
      </c>
      <c r="X546">
        <f>IF(Table1[[#This Row],[basement]]="yes", 1, 0)</f>
        <v>0</v>
      </c>
      <c r="Y546">
        <f>IF(Table1[[#This Row],[hotwaterheating]]="yes", 1, 0)</f>
        <v>0</v>
      </c>
      <c r="Z546">
        <f>IF(Table1[[#This Row],[airconditioning]]="yes", 1, 0)</f>
        <v>0</v>
      </c>
      <c r="AA546">
        <v>0</v>
      </c>
      <c r="AB546">
        <f>IF(Table1[[#This Row],[prefarea]]= "yes", 1, 0)</f>
        <v>0</v>
      </c>
      <c r="AC546" s="1">
        <v>1750000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B5B34-C28E-4DA4-92A1-6CEBC0FE3BAF}">
  <dimension ref="B62:Q72"/>
  <sheetViews>
    <sheetView topLeftCell="A63" zoomScale="91" zoomScaleNormal="100" workbookViewId="0">
      <selection activeCell="S27" sqref="S27"/>
    </sheetView>
  </sheetViews>
  <sheetFormatPr defaultRowHeight="14.45"/>
  <cols>
    <col min="2" max="2" width="12.42578125" bestFit="1" customWidth="1"/>
    <col min="3" max="3" width="13.85546875" bestFit="1" customWidth="1"/>
    <col min="9" max="9" width="12.42578125" bestFit="1" customWidth="1"/>
    <col min="10" max="10" width="14.42578125" bestFit="1" customWidth="1"/>
  </cols>
  <sheetData>
    <row r="62" spans="2:2" ht="18">
      <c r="B62" s="2" t="s">
        <v>34</v>
      </c>
    </row>
    <row r="72" spans="17:17">
      <c r="Q72" t="s">
        <v>35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A6747-92C8-438E-BA83-AD05D0C99BFF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F2D5E-3950-4BFE-A96C-80AD39F0A640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Sharma</dc:creator>
  <cp:keywords/>
  <dc:description/>
  <cp:lastModifiedBy>Rahul Sharma (24336163)</cp:lastModifiedBy>
  <cp:revision/>
  <dcterms:created xsi:type="dcterms:W3CDTF">2026-04-27T11:09:47Z</dcterms:created>
  <dcterms:modified xsi:type="dcterms:W3CDTF">2026-04-29T02:53:57Z</dcterms:modified>
  <cp:category/>
  <cp:contentStatus/>
</cp:coreProperties>
</file>